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sers\Desktop\复刻计划\多协议桌面充电站3.0\"/>
    </mc:Choice>
  </mc:AlternateContent>
  <xr:revisionPtr revIDLastSave="0" documentId="13_ncr:1_{DE76BC7F-B453-48F7-AB7F-EB97AF2C31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模板" sheetId="1" r:id="rId1"/>
    <sheet name="Field汇总" sheetId="2" r:id="rId2"/>
  </sheets>
  <calcPr calcId="191029"/>
</workbook>
</file>

<file path=xl/calcChain.xml><?xml version="1.0" encoding="utf-8"?>
<calcChain xmlns="http://schemas.openxmlformats.org/spreadsheetml/2006/main">
  <c r="K76" i="1" l="1"/>
  <c r="A75" i="1" a="1"/>
  <c r="A75" i="1" s="1"/>
  <c r="A74" i="1" a="1"/>
  <c r="A74" i="1" s="1"/>
  <c r="A73" i="1" a="1"/>
  <c r="A73" i="1" s="1"/>
  <c r="A72" i="1" a="1"/>
  <c r="A72" i="1" s="1"/>
  <c r="A71" i="1" a="1"/>
  <c r="A71" i="1" s="1"/>
  <c r="A70" i="1" a="1"/>
  <c r="A70" i="1" s="1"/>
  <c r="A69" i="1"/>
  <c r="A69" i="1" a="1"/>
  <c r="A68" i="1" a="1"/>
  <c r="A68" i="1" s="1"/>
  <c r="A67" i="1" a="1"/>
  <c r="A67" i="1" s="1"/>
  <c r="A66" i="1" a="1"/>
  <c r="A66" i="1" s="1"/>
  <c r="A65" i="1" a="1"/>
  <c r="A65" i="1" s="1"/>
  <c r="A64" i="1" a="1"/>
  <c r="A64" i="1" s="1"/>
  <c r="A63" i="1" a="1"/>
  <c r="A63" i="1" s="1"/>
  <c r="A61" i="1" a="1"/>
  <c r="A61" i="1" s="1"/>
  <c r="A60" i="1" a="1"/>
  <c r="A60" i="1" s="1"/>
  <c r="A59" i="1" a="1"/>
  <c r="A59" i="1" s="1"/>
  <c r="A58" i="1" a="1"/>
  <c r="A58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3" i="1" a="1"/>
  <c r="A43" i="1" s="1"/>
  <c r="A42" i="1" a="1"/>
  <c r="A42" i="1" s="1"/>
  <c r="A41" i="1"/>
  <c r="A41" i="1" a="1"/>
  <c r="A40" i="1" a="1"/>
  <c r="A40" i="1" s="1"/>
  <c r="A38" i="1" a="1"/>
  <c r="A38" i="1" s="1"/>
  <c r="A37" i="1" a="1"/>
  <c r="A37" i="1" s="1"/>
  <c r="A36" i="1" a="1"/>
  <c r="A36" i="1" s="1"/>
  <c r="A35" i="1" a="1"/>
  <c r="A35" i="1" s="1"/>
  <c r="A33" i="1" a="1"/>
  <c r="A33" i="1" s="1"/>
  <c r="A32" i="1" a="1"/>
  <c r="A32" i="1" s="1"/>
  <c r="A31" i="1" a="1"/>
  <c r="A31" i="1" s="1"/>
  <c r="A30" i="1" a="1"/>
  <c r="A30" i="1" s="1"/>
  <c r="A27" i="1" a="1"/>
  <c r="A27" i="1" s="1"/>
  <c r="A26" i="1"/>
  <c r="A26" i="1" a="1"/>
  <c r="A25" i="1" a="1"/>
  <c r="A25" i="1" s="1"/>
  <c r="A24" i="1" a="1"/>
  <c r="A24" i="1" s="1"/>
  <c r="A23" i="1" a="1"/>
  <c r="A23" i="1" s="1"/>
  <c r="A22" i="1" a="1"/>
  <c r="A22" i="1" s="1"/>
  <c r="A21" i="1"/>
  <c r="A21" i="1" a="1"/>
  <c r="A19" i="1" a="1"/>
  <c r="A19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<sst xmlns="http://schemas.openxmlformats.org/spreadsheetml/2006/main" count="493" uniqueCount="360">
  <si>
    <t>多协议桌面充电站3.0下层BOM</t>
  </si>
  <si>
    <t>Project Title：多协议桌面充电站3.0</t>
  </si>
  <si>
    <t xml:space="preserve"> </t>
  </si>
  <si>
    <t>No.</t>
  </si>
  <si>
    <t>10kΩ</t>
  </si>
  <si>
    <t>R0603</t>
  </si>
  <si>
    <t>0603WAF1002T5E</t>
  </si>
  <si>
    <t>UNI-ROYAL(厚声)</t>
  </si>
  <si>
    <t>C25804</t>
  </si>
  <si>
    <t>上层已计算</t>
  </si>
  <si>
    <t>10Ω</t>
  </si>
  <si>
    <t>R11, R15, R16, R18, R20, R23, R24, R30, R31, R33, R36, R37, R43, R47, R48</t>
  </si>
  <si>
    <t>0603WAF100JT5E</t>
  </si>
  <si>
    <t>C22859</t>
  </si>
  <si>
    <t>0.13(20)</t>
  </si>
  <si>
    <t>100kΩ</t>
  </si>
  <si>
    <t>R5, R57</t>
  </si>
  <si>
    <t>0603WAF1003T5E</t>
  </si>
  <si>
    <t>C25803</t>
  </si>
  <si>
    <t>1kΩ</t>
  </si>
  <si>
    <t>R63, R76</t>
  </si>
  <si>
    <t>0603WAF1001T5E</t>
  </si>
  <si>
    <t>C21190</t>
  </si>
  <si>
    <t>5.1kΩ</t>
  </si>
  <si>
    <t>R1, R4, R61, R62, R67, R68</t>
  </si>
  <si>
    <t>0603WAF5101T5E</t>
  </si>
  <si>
    <t>C23186</t>
  </si>
  <si>
    <t>0.66(100)</t>
  </si>
  <si>
    <t>33.2kΩ</t>
  </si>
  <si>
    <t>R53</t>
  </si>
  <si>
    <t>FRC0603F3322TS</t>
  </si>
  <si>
    <t>FOJAN</t>
  </si>
  <si>
    <t>C2933200</t>
  </si>
  <si>
    <t>0.60(100)</t>
  </si>
  <si>
    <t>20Ω</t>
  </si>
  <si>
    <t>R2, R3</t>
  </si>
  <si>
    <t>0603WAF200JT5E</t>
  </si>
  <si>
    <t>C22950</t>
  </si>
  <si>
    <t>0.69(100)</t>
  </si>
  <si>
    <t>200kΩ</t>
  </si>
  <si>
    <t>R60</t>
  </si>
  <si>
    <t>0603WAF2003T5E</t>
  </si>
  <si>
    <t>C25811</t>
  </si>
  <si>
    <t>0.70(100)</t>
  </si>
  <si>
    <t>4.7kΩ</t>
  </si>
  <si>
    <t>R9, R10, R12, R13, R14, R49, R50, R51, R52, R74, R75</t>
  </si>
  <si>
    <t>0603WAF4701T5E</t>
  </si>
  <si>
    <t>C23162</t>
  </si>
  <si>
    <t>0.14(20)</t>
  </si>
  <si>
    <t>2Ω</t>
  </si>
  <si>
    <t>R25, R26, R27, R28, R29, R38, R39, R40, R41, R42, R44</t>
  </si>
  <si>
    <t>0603WAF200KT5E</t>
  </si>
  <si>
    <t>C22977</t>
  </si>
  <si>
    <t>5mΩ</t>
  </si>
  <si>
    <t>R21, R22, R34, R35</t>
  </si>
  <si>
    <t>R2512</t>
  </si>
  <si>
    <t>RLM25FEER005</t>
  </si>
  <si>
    <t>大毅科技</t>
  </si>
  <si>
    <t>C185817</t>
  </si>
  <si>
    <t>2.82(10)</t>
  </si>
  <si>
    <t>10mΩ</t>
  </si>
  <si>
    <t>RES-SMD_L6.4-W3.2-R2512</t>
  </si>
  <si>
    <t>FMF25JPKR010-LH</t>
  </si>
  <si>
    <t>PSA(信昌电陶)</t>
  </si>
  <si>
    <t>C5144767</t>
  </si>
  <si>
    <t>20mΩ</t>
  </si>
  <si>
    <t>RES-SMD_L6.4-W3.2_LR2512D-3W-1MR</t>
  </si>
  <si>
    <t>HoYLR2512-3W-20mR-1%</t>
  </si>
  <si>
    <t>Milliohm(毫欧)</t>
  </si>
  <si>
    <t>C5375467</t>
  </si>
  <si>
    <t>3.16(10)</t>
  </si>
  <si>
    <t>C0603</t>
  </si>
  <si>
    <t>100nF</t>
  </si>
  <si>
    <t>CL10B104KB8NNNC</t>
  </si>
  <si>
    <t>SAMSUNG(三星)</t>
  </si>
  <si>
    <t>C1591</t>
  </si>
  <si>
    <t>1nF</t>
  </si>
  <si>
    <t>C66</t>
  </si>
  <si>
    <t>CL10B102KB8NNNC</t>
  </si>
  <si>
    <t>C1588</t>
  </si>
  <si>
    <t>1uF</t>
  </si>
  <si>
    <t>CL10A105KB8NNNC</t>
  </si>
  <si>
    <t>C15849</t>
  </si>
  <si>
    <t>3.3nF</t>
  </si>
  <si>
    <t>C43, C44, C57, C58</t>
  </si>
  <si>
    <t>CL10B332KB8NNNC</t>
  </si>
  <si>
    <t>C1613</t>
  </si>
  <si>
    <t>3.42(100)</t>
  </si>
  <si>
    <t>2.2uF</t>
  </si>
  <si>
    <t>C41, C42, C55, C56, C82</t>
  </si>
  <si>
    <t>CL10A225KO8NNNC</t>
  </si>
  <si>
    <t>C23630</t>
  </si>
  <si>
    <t>3.88(100)</t>
  </si>
  <si>
    <t>10uF</t>
  </si>
  <si>
    <t>C72, C73</t>
  </si>
  <si>
    <t>C0805</t>
  </si>
  <si>
    <t>CL21A106KAYNNNE</t>
  </si>
  <si>
    <t>C15850</t>
  </si>
  <si>
    <t>1.41(20)</t>
  </si>
  <si>
    <t>22uF</t>
  </si>
  <si>
    <t>C75, C76</t>
  </si>
  <si>
    <t>CL21A226MAQNNNE</t>
  </si>
  <si>
    <t>C45783</t>
  </si>
  <si>
    <t>1.55(10)</t>
  </si>
  <si>
    <t>C36, C50, C64, C65</t>
  </si>
  <si>
    <t>C1206</t>
  </si>
  <si>
    <t>CL31A106KBHNNNE</t>
  </si>
  <si>
    <t>C13585</t>
  </si>
  <si>
    <t>C61, C67, C68</t>
  </si>
  <si>
    <t>CL31A226KAHNNNE</t>
  </si>
  <si>
    <t>C12891</t>
  </si>
  <si>
    <t>100uF</t>
  </si>
  <si>
    <t>U10, U12, U14, U16, U19</t>
  </si>
  <si>
    <t>CAP-SMD_BD6.3-L6.6-W6.6-LS7.3-FD</t>
  </si>
  <si>
    <t>耐压35V及以上</t>
  </si>
  <si>
    <t>220uF</t>
  </si>
  <si>
    <t>C60</t>
  </si>
  <si>
    <t>CAP-SMD_BD8.0-L8.3-W8.3-LS8.9-FD</t>
  </si>
  <si>
    <t>470uF</t>
  </si>
  <si>
    <t>U24, U25</t>
  </si>
  <si>
    <t>CAP-SMD_BD10.0-L10.3-W10.3-LS11.0-FD</t>
  </si>
  <si>
    <t>淘宝</t>
  </si>
  <si>
    <t>5.3(5)</t>
  </si>
  <si>
    <t>C17, C18, C37, C51</t>
  </si>
  <si>
    <t>C1210</t>
  </si>
  <si>
    <t>10uH</t>
  </si>
  <si>
    <t>U13, U17</t>
  </si>
  <si>
    <t>IND-SMD_L13.8-W12.8</t>
  </si>
  <si>
    <t>CYA1265-10UH</t>
  </si>
  <si>
    <t>7.25(5)</t>
  </si>
  <si>
    <t>L4</t>
  </si>
  <si>
    <t>IND-SMD_L11.5-W10.0_FXL1040</t>
  </si>
  <si>
    <t>FXL1040-100-M</t>
  </si>
  <si>
    <t>cjiang(长江微电)</t>
  </si>
  <si>
    <t>C475915</t>
  </si>
  <si>
    <t>2.2uH</t>
  </si>
  <si>
    <t>L3</t>
  </si>
  <si>
    <t>IND-SMD_L4.4-W4.2</t>
  </si>
  <si>
    <t>SLO0420H2R2MTT</t>
  </si>
  <si>
    <t>Sunltech(韩国顺磁)</t>
  </si>
  <si>
    <t>C207828</t>
  </si>
  <si>
    <t>4.32(5)</t>
  </si>
  <si>
    <t>68uH</t>
  </si>
  <si>
    <t>L1</t>
  </si>
  <si>
    <t>IND-SMD_L7.1-W6.6</t>
  </si>
  <si>
    <t>SMMS0650-680M</t>
  </si>
  <si>
    <t>SXN(顺翔诺)</t>
  </si>
  <si>
    <t>C2894721</t>
  </si>
  <si>
    <t>5.31(5)</t>
  </si>
  <si>
    <t>ZMM3V3</t>
  </si>
  <si>
    <t>D3</t>
  </si>
  <si>
    <t>LL-34_L3.5-W1.5-LS3.5-FD</t>
  </si>
  <si>
    <t>S8050 J3Y</t>
  </si>
  <si>
    <t>Q13, Q14</t>
  </si>
  <si>
    <t>SOT-23-3_L3.0-W1.7-P0.95-LS2.9-BR</t>
  </si>
  <si>
    <t>CJ(江苏长电/长晶)</t>
  </si>
  <si>
    <t>C2146</t>
  </si>
  <si>
    <t>4.34(50)</t>
  </si>
  <si>
    <t>2N7002</t>
  </si>
  <si>
    <t>Q22</t>
  </si>
  <si>
    <t>SOT-23-3_L2.9-W1.3-P1.90-LS2.4-BR</t>
  </si>
  <si>
    <t>C8545</t>
  </si>
  <si>
    <t>DTC143ZCA</t>
  </si>
  <si>
    <t>Q2, Q3, Q16</t>
  </si>
  <si>
    <t>C15236</t>
  </si>
  <si>
    <t>SS24F</t>
  </si>
  <si>
    <t>D1</t>
  </si>
  <si>
    <t>SMAF_L3.5-W2.6-LS4.7-RD</t>
  </si>
  <si>
    <t>Hottech(合科泰)</t>
  </si>
  <si>
    <t>0.71(5)</t>
  </si>
  <si>
    <t>SMF30A</t>
  </si>
  <si>
    <t>D4</t>
  </si>
  <si>
    <t>SOD-123FL_L2.7-W1.8-LS3.8-RD</t>
  </si>
  <si>
    <t>宏迦橙</t>
  </si>
  <si>
    <t>C19077518</t>
  </si>
  <si>
    <t>3.01(20)</t>
  </si>
  <si>
    <t>SS26</t>
  </si>
  <si>
    <t>D2</t>
  </si>
  <si>
    <t>SMA_L4.4-W2.8-LS5.4-RD</t>
  </si>
  <si>
    <t>BORN(伯恩半导体)</t>
  </si>
  <si>
    <t>C306851</t>
  </si>
  <si>
    <t>2.68(10)</t>
  </si>
  <si>
    <t>NCE30P30K</t>
  </si>
  <si>
    <t>Q1, Q15</t>
  </si>
  <si>
    <t>TO-252-2_L6.6-W6.1-P4.57-LS9.9-TL-CW</t>
  </si>
  <si>
    <t>NCE(无锡新洁能)</t>
  </si>
  <si>
    <t>C130106</t>
  </si>
  <si>
    <t>LMV321-TR</t>
  </si>
  <si>
    <t>U8</t>
  </si>
  <si>
    <t>SOT-23-5_L3.0-W1.7-P0.95-LS2.8-BR</t>
  </si>
  <si>
    <t>Gainsil(聚洵)</t>
  </si>
  <si>
    <t>C362273</t>
  </si>
  <si>
    <t>CH221K</t>
  </si>
  <si>
    <t>Q20</t>
  </si>
  <si>
    <t>SOT-23-6_L2.9-W1.6-P0.95-LS2.8-BL-2</t>
  </si>
  <si>
    <t>7.00(5)</t>
  </si>
  <si>
    <t>XL1509-5.0E1</t>
  </si>
  <si>
    <t>U4</t>
  </si>
  <si>
    <t>SOIC-8_L5.0-W4.0-P1.27-LS6.0-BL</t>
  </si>
  <si>
    <t>XLSEMI(芯龙)</t>
  </si>
  <si>
    <t>C61063</t>
  </si>
  <si>
    <t>7.65(5)</t>
  </si>
  <si>
    <t>MX74610T</t>
  </si>
  <si>
    <t>U26</t>
  </si>
  <si>
    <t>SOT-23-6_L2.9-W1.6-P0.95-LS2.8-BL-1</t>
  </si>
  <si>
    <t>6.8(5)</t>
  </si>
  <si>
    <t>INA219AIDCNR</t>
  </si>
  <si>
    <t>U6</t>
  </si>
  <si>
    <t>SOT-23-8_L3.0-W1.7-P0.65-LS2.8-BR</t>
  </si>
  <si>
    <t>TI(德州仪器)</t>
  </si>
  <si>
    <t>C87469</t>
  </si>
  <si>
    <t>4.54(1)</t>
  </si>
  <si>
    <t>CH340K</t>
  </si>
  <si>
    <t>U21</t>
  </si>
  <si>
    <t>ESOP-10_L4.9-W3.9-P1.00-LS6.2-BL-EP</t>
  </si>
  <si>
    <t>WCH(南京沁恒)</t>
  </si>
  <si>
    <t>C968586</t>
  </si>
  <si>
    <t>4.11(1)</t>
  </si>
  <si>
    <t>INA3221AIRGVR</t>
  </si>
  <si>
    <t>U7</t>
  </si>
  <si>
    <t>QFN-16_L4.0-W4.0-P0.65-TL-EP2.2</t>
  </si>
  <si>
    <t>C181255</t>
  </si>
  <si>
    <t>6.5(1)</t>
  </si>
  <si>
    <t>AP75N03NF</t>
  </si>
  <si>
    <t>Q4, Q5, Q6, Q7, Q8, Q9, Q10, Q11, Q12, Q21</t>
  </si>
  <si>
    <t>PDFN-8_L5.8-W4.9-P1.27-LS6.1-BL</t>
  </si>
  <si>
    <t>APM</t>
  </si>
  <si>
    <t>6(10)</t>
  </si>
  <si>
    <t>IP6557_C</t>
  </si>
  <si>
    <t>U11, U15</t>
  </si>
  <si>
    <t>QFN-40_L5.0-W5.0-P0.40-BL-EP3.7</t>
  </si>
  <si>
    <t>13(2)</t>
  </si>
  <si>
    <t>TPS563201DDCR</t>
  </si>
  <si>
    <t>U22</t>
  </si>
  <si>
    <t>SOT-23-6_L2.9-W1.6-P0.95-LS2.8-BL</t>
  </si>
  <si>
    <t>C116592</t>
  </si>
  <si>
    <t>2.58(5)</t>
  </si>
  <si>
    <t>IP6538-AC</t>
  </si>
  <si>
    <t>U18</t>
  </si>
  <si>
    <t>QFN-32_L5.0-W5.0-P0.50-TL-EP3.4</t>
  </si>
  <si>
    <t>INJOINIC(英集芯)</t>
  </si>
  <si>
    <t>4(1)</t>
  </si>
  <si>
    <t>ESP32-S3-WROOM-1-N8R2</t>
  </si>
  <si>
    <t>U20</t>
  </si>
  <si>
    <t>WIRELM-SMD_ESP32-S3-WROOM-1</t>
  </si>
  <si>
    <t>14.8(1)</t>
  </si>
  <si>
    <t>TSA002A3512A02</t>
  </si>
  <si>
    <t>SW1, SW2</t>
  </si>
  <si>
    <t>SW-SMD_BZCN_TSA002A35XXX</t>
  </si>
  <si>
    <t>BZCN(博众电气)</t>
  </si>
  <si>
    <t>C2888932</t>
  </si>
  <si>
    <t>2.35(20)</t>
  </si>
  <si>
    <t>ZX-XH2.54-2PLT</t>
  </si>
  <si>
    <t>U27, U29</t>
  </si>
  <si>
    <t>CONN-SMD_2P-P2.50_HCTL_HC-XH-2ALT</t>
  </si>
  <si>
    <t>Megastar(兆星)</t>
  </si>
  <si>
    <t>C7429680</t>
  </si>
  <si>
    <t>0451010.MRL</t>
  </si>
  <si>
    <t>U2, U3</t>
  </si>
  <si>
    <t>FUSE-SMD_L6.1-W2.7</t>
  </si>
  <si>
    <t>Littelfuse(美国力特)</t>
  </si>
  <si>
    <t>C44479</t>
  </si>
  <si>
    <t>3.47(5)</t>
  </si>
  <si>
    <t>AFC07-S12ECA-00</t>
  </si>
  <si>
    <t>FPC2</t>
  </si>
  <si>
    <t>FPC-SMD_12P-P0.50_AFC07-S12ECA-00</t>
  </si>
  <si>
    <t>12Pin 0.5mm 上接</t>
  </si>
  <si>
    <t>JS(钜硕电子)</t>
  </si>
  <si>
    <t>C262585</t>
  </si>
  <si>
    <t>3.53(5)</t>
  </si>
  <si>
    <t>AFA07-S12FCA-00</t>
  </si>
  <si>
    <t>FPC1</t>
  </si>
  <si>
    <t>FPC-SMD_P1.00-12P_LCS-XJ-H2.5</t>
  </si>
  <si>
    <t>C262718</t>
  </si>
  <si>
    <t>XL-4020RGBC-WS2812B</t>
  </si>
  <si>
    <t>LED1, LED2, LED3</t>
  </si>
  <si>
    <t>LED-SMD_4P-L4.0-W1.7_XL-4020RGBC-WS2812B</t>
  </si>
  <si>
    <t>XINGLIGHT(成兴光)</t>
  </si>
  <si>
    <t>C3647024</t>
  </si>
  <si>
    <t>3.91(5)</t>
  </si>
  <si>
    <t>LY-K3-01B-04</t>
  </si>
  <si>
    <t>U28</t>
  </si>
  <si>
    <t>SW-SMD_QS-301-AGS5P</t>
  </si>
  <si>
    <t>6.4(10)</t>
  </si>
  <si>
    <t>U262-161N-4BVC11</t>
  </si>
  <si>
    <t>USB-3.1-SMD_U262-161N-4BVC11</t>
  </si>
  <si>
    <t>DC007B-2.5-J</t>
  </si>
  <si>
    <t>U30</t>
  </si>
  <si>
    <t>DC-IN-TH_HX-DC007B-2.5</t>
  </si>
  <si>
    <t>5525和5521均可</t>
  </si>
  <si>
    <t>SHOU HAN(首韩)</t>
  </si>
  <si>
    <t>C17701686</t>
  </si>
  <si>
    <t>2.67(1)</t>
  </si>
  <si>
    <t>XT60PW-M</t>
  </si>
  <si>
    <t>CN1</t>
  </si>
  <si>
    <t>CONN-TH_XT60PW-M</t>
  </si>
  <si>
    <t>AMASS(艾迈斯)</t>
  </si>
  <si>
    <t>C98732</t>
  </si>
  <si>
    <t>3.79(1)</t>
  </si>
  <si>
    <t>12PIN 插接</t>
  </si>
  <si>
    <t>5.4(1)</t>
  </si>
  <si>
    <t>铝型材外壳</t>
  </si>
  <si>
    <t>Project Title</t>
  </si>
  <si>
    <t>多协议桌面充电站3.0</t>
  </si>
  <si>
    <t>Borard Title</t>
  </si>
  <si>
    <t>下层</t>
  </si>
  <si>
    <t>Schematic Title</t>
  </si>
  <si>
    <t>PCB Title</t>
  </si>
  <si>
    <t>Variant Name</t>
  </si>
  <si>
    <t>Total Quantity</t>
  </si>
  <si>
    <t>Report Time</t>
  </si>
  <si>
    <t>22:22:33</t>
  </si>
  <si>
    <t>Report Date</t>
  </si>
  <si>
    <t>2025年4月6日</t>
  </si>
  <si>
    <t>Report Date&amp;Time</t>
  </si>
  <si>
    <t>2025年4月6日 22:22:33</t>
  </si>
  <si>
    <t>File Name</t>
  </si>
  <si>
    <t>BOM_下层_下层_2025-04-06</t>
  </si>
  <si>
    <t>Filter Option</t>
  </si>
  <si>
    <t xml:space="preserve">Add into BOM:no; </t>
  </si>
  <si>
    <t>C21, C23, C30, C32, C46, C69, C71，C74, C77, C79, C85, C86, C87，C25, C39, C40, C53, C54, C59, C62, C63, C83, C84</t>
    <phoneticPr fontId="3" type="noConversion"/>
  </si>
  <si>
    <t>温州一键（淘宝）</t>
    <phoneticPr fontId="3" type="noConversion"/>
  </si>
  <si>
    <t>汉德电子连接器（淘宝）</t>
    <phoneticPr fontId="3" type="noConversion"/>
  </si>
  <si>
    <t>1.3寸LCD液晶屏幕（ST7789）</t>
    <phoneticPr fontId="3" type="noConversion"/>
  </si>
  <si>
    <t>104*36*80（毫米）</t>
    <phoneticPr fontId="3" type="noConversion"/>
  </si>
  <si>
    <t>数量</t>
    <phoneticPr fontId="3" type="noConversion"/>
  </si>
  <si>
    <t>名称</t>
    <phoneticPr fontId="3" type="noConversion"/>
  </si>
  <si>
    <t>位号</t>
    <phoneticPr fontId="3" type="noConversion"/>
  </si>
  <si>
    <t>封装</t>
    <phoneticPr fontId="3" type="noConversion"/>
  </si>
  <si>
    <t>料号或注释</t>
    <phoneticPr fontId="3" type="noConversion"/>
  </si>
  <si>
    <t>厂商</t>
    <phoneticPr fontId="3" type="noConversion"/>
  </si>
  <si>
    <t>供应商</t>
    <phoneticPr fontId="3" type="noConversion"/>
  </si>
  <si>
    <t>总价（数量）</t>
    <phoneticPr fontId="3" type="noConversion"/>
  </si>
  <si>
    <t>总价</t>
    <phoneticPr fontId="3" type="noConversion"/>
  </si>
  <si>
    <t>Check</t>
    <phoneticPr fontId="3" type="noConversion"/>
  </si>
  <si>
    <t>数值或注释</t>
    <phoneticPr fontId="3" type="noConversion"/>
  </si>
  <si>
    <t>R8, R54, R56, R73，R77, R78, R79</t>
    <phoneticPr fontId="3" type="noConversion"/>
  </si>
  <si>
    <t>C12, C31, C33, C34, C35, C45, C47, C48, C49，C9, C10, C11, C22, C70, C80</t>
    <phoneticPr fontId="3" type="noConversion"/>
  </si>
  <si>
    <t>USB1, USB2, USB3, USB4,USB5, USB6</t>
    <phoneticPr fontId="3" type="noConversion"/>
  </si>
  <si>
    <t>FLASH大于等于8MB均可</t>
    <phoneticPr fontId="3" type="noConversion"/>
  </si>
  <si>
    <t>NTC100K B3950</t>
    <phoneticPr fontId="3" type="noConversion"/>
  </si>
  <si>
    <t>嘉立创</t>
    <phoneticPr fontId="3" type="noConversion"/>
  </si>
  <si>
    <t>淘宝</t>
    <phoneticPr fontId="3" type="noConversion"/>
  </si>
  <si>
    <t>1.31（1）</t>
    <phoneticPr fontId="3" type="noConversion"/>
  </si>
  <si>
    <t>阳极氧化+UV打印</t>
    <phoneticPr fontId="3" type="noConversion"/>
  </si>
  <si>
    <t>101.9(2)</t>
    <phoneticPr fontId="3" type="noConversion"/>
  </si>
  <si>
    <t>嘉立创定制铝型材外壳</t>
    <phoneticPr fontId="3" type="noConversion"/>
  </si>
  <si>
    <t>参数更好或相同均可</t>
    <phoneticPr fontId="3" type="noConversion"/>
  </si>
  <si>
    <t>100uF - 固态电容</t>
    <phoneticPr fontId="3" type="noConversion"/>
  </si>
  <si>
    <t>220uF - 固态电容</t>
    <phoneticPr fontId="3" type="noConversion"/>
  </si>
  <si>
    <t>470uF - 固态电容</t>
    <phoneticPr fontId="3" type="noConversion"/>
  </si>
  <si>
    <t>100uF - MLCC</t>
    <phoneticPr fontId="3" type="noConversion"/>
  </si>
  <si>
    <t>耐压35V及以上</t>
    <phoneticPr fontId="3" type="noConversion"/>
  </si>
  <si>
    <t>10uF - 耐压35V及以上</t>
    <phoneticPr fontId="3" type="noConversion"/>
  </si>
  <si>
    <t>22uF - 耐压25V及以上</t>
    <phoneticPr fontId="3" type="noConversion"/>
  </si>
  <si>
    <t>R17, R72</t>
    <phoneticPr fontId="3" type="noConversion"/>
  </si>
  <si>
    <t>R19, R32, R45, R46</t>
    <phoneticPr fontId="3" type="noConversion"/>
  </si>
  <si>
    <t>Update Time: 2025.5.6</t>
    <phoneticPr fontId="3" type="noConversion"/>
  </si>
  <si>
    <t>C190803</t>
    <phoneticPr fontId="3" type="noConversion"/>
  </si>
  <si>
    <t>SMF30A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</si>
</sst>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Calibri"/>
    </font>
    <font>
      <sz val="11"/>
      <color indexed="8"/>
      <name val="等线"/>
      <family val="3"/>
      <charset val="134"/>
    </font>
    <font>
      <sz val="11"/>
      <color indexed="8"/>
      <name val="等距更纱黑体 SC SemiBold"/>
      <family val="3"/>
      <charset val="134"/>
    </font>
    <font>
      <sz val="9"/>
      <name val="宋体"/>
      <family val="3"/>
      <charset val="134"/>
    </font>
    <font>
      <b/>
      <sz val="11"/>
      <color indexed="8"/>
      <name val="等距更纱黑体 SC SemiBold"/>
      <family val="3"/>
      <charset val="134"/>
    </font>
    <font>
      <sz val="10"/>
      <color indexed="8"/>
      <name val="等距更纱黑体 SC SemiBold"/>
      <family val="3"/>
      <charset val="134"/>
    </font>
    <font>
      <sz val="12"/>
      <color indexed="13"/>
      <name val="等距更纱黑体 SC SemiBold"/>
      <family val="3"/>
      <charset val="134"/>
    </font>
    <font>
      <sz val="11"/>
      <name val="等距更纱黑体 SC SemiBold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NumberFormat="0" applyFill="0" applyBorder="0" applyProtection="0"/>
  </cellStyleXfs>
  <cellXfs count="46">
    <xf numFmtId="0" fontId="0" fillId="0" borderId="0" xfId="0"/>
    <xf numFmtId="49" fontId="1" fillId="0" borderId="3" xfId="0" applyNumberFormat="1" applyFont="1" applyBorder="1"/>
    <xf numFmtId="0" fontId="0" fillId="0" borderId="0" xfId="0" applyNumberFormat="1"/>
    <xf numFmtId="0" fontId="0" fillId="0" borderId="4" xfId="0" applyBorder="1"/>
    <xf numFmtId="0" fontId="0" fillId="0" borderId="1" xfId="0" applyBorder="1"/>
    <xf numFmtId="0" fontId="1" fillId="0" borderId="3" xfId="0" applyNumberFormat="1" applyFont="1" applyBorder="1"/>
    <xf numFmtId="0" fontId="2" fillId="0" borderId="0" xfId="0" applyNumberFormat="1" applyFont="1"/>
    <xf numFmtId="49" fontId="4" fillId="0" borderId="1" xfId="0" applyNumberFormat="1" applyFont="1" applyBorder="1"/>
    <xf numFmtId="49" fontId="4" fillId="0" borderId="2" xfId="0" applyNumberFormat="1" applyFont="1" applyBorder="1"/>
    <xf numFmtId="49" fontId="2" fillId="0" borderId="3" xfId="0" applyNumberFormat="1" applyFont="1" applyBorder="1"/>
    <xf numFmtId="49" fontId="2" fillId="3" borderId="3" xfId="0" applyNumberFormat="1" applyFont="1" applyFill="1" applyBorder="1"/>
    <xf numFmtId="0" fontId="2" fillId="3" borderId="3" xfId="0" applyFont="1" applyFill="1" applyBorder="1"/>
    <xf numFmtId="0" fontId="2" fillId="2" borderId="3" xfId="0" applyNumberFormat="1" applyFont="1" applyFill="1" applyBorder="1" applyAlignment="1">
      <alignment horizontal="left" vertical="center"/>
    </xf>
    <xf numFmtId="49" fontId="5" fillId="4" borderId="3" xfId="0" applyNumberFormat="1" applyFont="1" applyFill="1" applyBorder="1" applyAlignment="1">
      <alignment horizontal="left" readingOrder="1"/>
    </xf>
    <xf numFmtId="49" fontId="2" fillId="3" borderId="3" xfId="0" applyNumberFormat="1" applyFont="1" applyFill="1" applyBorder="1" applyAlignment="1">
      <alignment wrapText="1"/>
    </xf>
    <xf numFmtId="49" fontId="2" fillId="4" borderId="3" xfId="0" applyNumberFormat="1" applyFont="1" applyFill="1" applyBorder="1" applyAlignment="1">
      <alignment wrapText="1"/>
    </xf>
    <xf numFmtId="49" fontId="5" fillId="4" borderId="3" xfId="0" applyNumberFormat="1" applyFont="1" applyFill="1" applyBorder="1" applyAlignment="1">
      <alignment horizontal="left" wrapText="1"/>
    </xf>
    <xf numFmtId="0" fontId="2" fillId="3" borderId="6" xfId="0" applyFont="1" applyFill="1" applyBorder="1"/>
    <xf numFmtId="0" fontId="2" fillId="0" borderId="5" xfId="0" applyNumberFormat="1" applyFont="1" applyBorder="1"/>
    <xf numFmtId="0" fontId="2" fillId="3" borderId="5" xfId="0" applyFont="1" applyFill="1" applyBorder="1"/>
    <xf numFmtId="49" fontId="2" fillId="4" borderId="3" xfId="0" applyNumberFormat="1" applyFont="1" applyFill="1" applyBorder="1"/>
    <xf numFmtId="0" fontId="2" fillId="4" borderId="6" xfId="0" applyNumberFormat="1" applyFont="1" applyFill="1" applyBorder="1"/>
    <xf numFmtId="0" fontId="2" fillId="4" borderId="6" xfId="0" applyFont="1" applyFill="1" applyBorder="1"/>
    <xf numFmtId="0" fontId="2" fillId="4" borderId="3" xfId="0" applyFont="1" applyFill="1" applyBorder="1"/>
    <xf numFmtId="0" fontId="2" fillId="2" borderId="11" xfId="0" applyNumberFormat="1" applyFont="1" applyFill="1" applyBorder="1" applyAlignment="1">
      <alignment horizontal="left" vertical="center"/>
    </xf>
    <xf numFmtId="49" fontId="5" fillId="4" borderId="11" xfId="0" applyNumberFormat="1" applyFont="1" applyFill="1" applyBorder="1" applyAlignment="1">
      <alignment horizontal="left" readingOrder="1"/>
    </xf>
    <xf numFmtId="49" fontId="5" fillId="4" borderId="11" xfId="0" applyNumberFormat="1" applyFont="1" applyFill="1" applyBorder="1" applyAlignment="1">
      <alignment horizontal="left" wrapText="1"/>
    </xf>
    <xf numFmtId="0" fontId="2" fillId="4" borderId="11" xfId="0" applyFont="1" applyFill="1" applyBorder="1"/>
    <xf numFmtId="0" fontId="6" fillId="4" borderId="11" xfId="0" applyFont="1" applyFill="1" applyBorder="1" applyAlignment="1">
      <alignment horizontal="justify" readingOrder="1"/>
    </xf>
    <xf numFmtId="49" fontId="2" fillId="4" borderId="11" xfId="0" applyNumberFormat="1" applyFont="1" applyFill="1" applyBorder="1"/>
    <xf numFmtId="0" fontId="2" fillId="4" borderId="12" xfId="0" applyNumberFormat="1" applyFont="1" applyFill="1" applyBorder="1"/>
    <xf numFmtId="0" fontId="2" fillId="0" borderId="13" xfId="0" applyNumberFormat="1" applyFont="1" applyBorder="1"/>
    <xf numFmtId="0" fontId="2" fillId="5" borderId="3" xfId="0" applyNumberFormat="1" applyFont="1" applyFill="1" applyBorder="1"/>
    <xf numFmtId="0" fontId="2" fillId="6" borderId="3" xfId="0" applyNumberFormat="1" applyFont="1" applyFill="1" applyBorder="1"/>
    <xf numFmtId="0" fontId="2" fillId="7" borderId="3" xfId="0" applyNumberFormat="1" applyFont="1" applyFill="1" applyBorder="1"/>
    <xf numFmtId="0" fontId="7" fillId="7" borderId="3" xfId="0" applyNumberFormat="1" applyFont="1" applyFill="1" applyBorder="1"/>
    <xf numFmtId="0" fontId="2" fillId="6" borderId="1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EEECE1"/>
      <rgbColor rgb="FFDAEEF3"/>
      <rgbColor rgb="FF5F616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121347</xdr:colOff>
      <xdr:row>0</xdr:row>
      <xdr:rowOff>110638</xdr:rowOff>
    </xdr:from>
    <xdr:to>
      <xdr:col>0</xdr:col>
      <xdr:colOff>811124</xdr:colOff>
      <xdr:row>4</xdr:row>
      <xdr:rowOff>76515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47" y="110638"/>
          <a:ext cx="689777" cy="6897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oneCellAnchor>
    <xdr:from>
      <xdr:col>0</xdr:col>
      <xdr:colOff>838200</xdr:colOff>
      <xdr:row>0</xdr:row>
      <xdr:rowOff>9525</xdr:rowOff>
    </xdr:from>
    <xdr:ext cx="3298337" cy="925892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38200" y="9525"/>
          <a:ext cx="3298337" cy="925892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zh-CN" altLang="en-US" sz="2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等距更纱黑体 SC SemiBold" panose="02000709000000000000" pitchFamily="49" charset="-122"/>
              <a:ea typeface="等距更纱黑体 SC SemiBold" panose="02000709000000000000" pitchFamily="49" charset="-122"/>
              <a:cs typeface="等距更纱黑体 SC SemiBold" panose="02000709000000000000" pitchFamily="49" charset="-122"/>
              <a:sym typeface="Calibri"/>
            </a:rPr>
            <a:t>多协议桌面充电站 </a:t>
          </a:r>
          <a:r>
            <a:rPr kumimoji="0" lang="en-US" altLang="zh-CN" sz="2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等距更纱黑体 SC SemiBold" panose="02000709000000000000" pitchFamily="49" charset="-122"/>
              <a:ea typeface="等距更纱黑体 SC SemiBold" panose="02000709000000000000" pitchFamily="49" charset="-122"/>
              <a:cs typeface="等距更纱黑体 SC SemiBold" panose="02000709000000000000" pitchFamily="49" charset="-122"/>
              <a:sym typeface="Calibri"/>
            </a:rPr>
            <a:t>- VER3.0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altLang="zh-CN" sz="2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等距更纱黑体 SC SemiBold" panose="02000709000000000000" pitchFamily="49" charset="-122"/>
              <a:ea typeface="等距更纱黑体 SC SemiBold" panose="02000709000000000000" pitchFamily="49" charset="-122"/>
              <a:cs typeface="等距更纱黑体 SC SemiBold" panose="02000709000000000000" pitchFamily="49" charset="-122"/>
              <a:sym typeface="Calibri"/>
            </a:rPr>
            <a:t>Copyright © 2025 iKalyes</a:t>
          </a:r>
          <a:endParaRPr kumimoji="0" lang="zh-CN" altLang="en-US" sz="20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等距更纱黑体 SC SemiBold" panose="02000709000000000000" pitchFamily="49" charset="-122"/>
            <a:ea typeface="等距更纱黑体 SC SemiBold" panose="02000709000000000000" pitchFamily="49" charset="-122"/>
            <a:cs typeface="等距更纱黑体 SC SemiBold" panose="02000709000000000000" pitchFamily="49" charset="-122"/>
            <a:sym typeface="Calibri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showGridLines="0" tabSelected="1" topLeftCell="A43" workbookViewId="0">
      <selection activeCell="B58" sqref="B58"/>
    </sheetView>
  </sheetViews>
  <sheetFormatPr defaultColWidth="9" defaultRowHeight="14.25" customHeight="1"/>
  <cols>
    <col min="1" max="1" width="16.33203125" style="6" customWidth="1"/>
    <col min="2" max="2" width="17.109375" style="6" customWidth="1"/>
    <col min="3" max="3" width="28.33203125" style="6" customWidth="1"/>
    <col min="4" max="4" width="43.6640625" style="6" customWidth="1"/>
    <col min="5" max="5" width="47" style="6" customWidth="1"/>
    <col min="6" max="6" width="22.5546875" style="6" customWidth="1"/>
    <col min="7" max="7" width="26.88671875" style="6" customWidth="1"/>
    <col min="8" max="8" width="27.109375" style="6" customWidth="1"/>
    <col min="9" max="11" width="14.33203125" style="6" customWidth="1"/>
    <col min="12" max="12" width="9" style="6" customWidth="1"/>
    <col min="13" max="16384" width="9" style="6"/>
  </cols>
  <sheetData>
    <row r="1" spans="1:12" ht="14.25" customHeight="1">
      <c r="A1" s="37"/>
      <c r="B1" s="37"/>
      <c r="C1" s="37"/>
      <c r="D1" s="37"/>
      <c r="E1" s="39" t="s">
        <v>0</v>
      </c>
      <c r="F1" s="41" t="s">
        <v>2</v>
      </c>
      <c r="G1" s="42"/>
      <c r="H1" s="42"/>
      <c r="I1" s="42"/>
      <c r="J1" s="42"/>
      <c r="K1" s="42"/>
      <c r="L1" s="43"/>
    </row>
    <row r="2" spans="1:12" ht="14.25" customHeight="1">
      <c r="A2" s="37"/>
      <c r="B2" s="37"/>
      <c r="C2" s="37"/>
      <c r="D2" s="37"/>
      <c r="E2" s="40"/>
      <c r="F2" s="41"/>
      <c r="G2" s="42"/>
      <c r="H2" s="42"/>
      <c r="I2" s="42"/>
      <c r="J2" s="42"/>
      <c r="K2" s="42"/>
      <c r="L2" s="43"/>
    </row>
    <row r="3" spans="1:12" ht="14.25" customHeight="1">
      <c r="A3" s="37"/>
      <c r="B3" s="37"/>
      <c r="C3" s="37"/>
      <c r="D3" s="37"/>
      <c r="E3" s="7" t="s">
        <v>1</v>
      </c>
      <c r="F3" s="41"/>
      <c r="G3" s="42"/>
      <c r="H3" s="42"/>
      <c r="I3" s="42"/>
      <c r="J3" s="42"/>
      <c r="K3" s="42"/>
      <c r="L3" s="43"/>
    </row>
    <row r="4" spans="1:12" ht="14.25" customHeight="1">
      <c r="A4" s="37"/>
      <c r="B4" s="37"/>
      <c r="C4" s="37"/>
      <c r="D4" s="37"/>
      <c r="E4" s="7" t="s">
        <v>357</v>
      </c>
      <c r="F4" s="41"/>
      <c r="G4" s="42"/>
      <c r="H4" s="42"/>
      <c r="I4" s="42"/>
      <c r="J4" s="42"/>
      <c r="K4" s="42"/>
      <c r="L4" s="43"/>
    </row>
    <row r="5" spans="1:12" ht="14.25" customHeight="1">
      <c r="A5" s="38"/>
      <c r="B5" s="38"/>
      <c r="C5" s="38"/>
      <c r="D5" s="38"/>
      <c r="E5" s="8"/>
      <c r="F5" s="44"/>
      <c r="G5" s="45"/>
      <c r="H5" s="45"/>
      <c r="I5" s="45"/>
      <c r="J5" s="45"/>
      <c r="K5" s="45"/>
      <c r="L5" s="43"/>
    </row>
    <row r="6" spans="1:12" ht="14.25" customHeight="1">
      <c r="A6" s="9" t="s">
        <v>3</v>
      </c>
      <c r="B6" s="10" t="s">
        <v>325</v>
      </c>
      <c r="C6" s="10" t="s">
        <v>326</v>
      </c>
      <c r="D6" s="14" t="s">
        <v>327</v>
      </c>
      <c r="E6" s="10" t="s">
        <v>328</v>
      </c>
      <c r="F6" s="10" t="s">
        <v>335</v>
      </c>
      <c r="G6" s="10" t="s">
        <v>329</v>
      </c>
      <c r="H6" s="10" t="s">
        <v>330</v>
      </c>
      <c r="I6" s="10" t="s">
        <v>331</v>
      </c>
      <c r="J6" s="11" t="s">
        <v>332</v>
      </c>
      <c r="K6" s="17" t="s">
        <v>333</v>
      </c>
      <c r="L6" s="19" t="s">
        <v>334</v>
      </c>
    </row>
    <row r="7" spans="1:12" ht="14.25" customHeight="1">
      <c r="A7" s="12" cm="1">
        <f t="array" ref="A7">ROW()-6</f>
        <v>1</v>
      </c>
      <c r="B7" s="34">
        <v>4</v>
      </c>
      <c r="C7" s="20" t="s">
        <v>53</v>
      </c>
      <c r="D7" s="15" t="s">
        <v>54</v>
      </c>
      <c r="E7" s="20" t="s">
        <v>55</v>
      </c>
      <c r="F7" s="20" t="s">
        <v>53</v>
      </c>
      <c r="G7" s="20" t="s">
        <v>56</v>
      </c>
      <c r="H7" s="20" t="s">
        <v>57</v>
      </c>
      <c r="I7" s="20" t="s">
        <v>58</v>
      </c>
      <c r="J7" s="20" t="s">
        <v>59</v>
      </c>
      <c r="K7" s="21">
        <v>2.82</v>
      </c>
      <c r="L7" s="18"/>
    </row>
    <row r="8" spans="1:12" ht="14.25" customHeight="1">
      <c r="A8" s="12" cm="1">
        <f t="array" ref="A8">ROW()-6</f>
        <v>2</v>
      </c>
      <c r="B8" s="34">
        <v>4</v>
      </c>
      <c r="C8" s="20" t="s">
        <v>60</v>
      </c>
      <c r="D8" s="15" t="s">
        <v>356</v>
      </c>
      <c r="E8" s="20" t="s">
        <v>61</v>
      </c>
      <c r="F8" s="20" t="s">
        <v>60</v>
      </c>
      <c r="G8" s="20" t="s">
        <v>62</v>
      </c>
      <c r="H8" s="20" t="s">
        <v>63</v>
      </c>
      <c r="I8" s="20" t="s">
        <v>64</v>
      </c>
      <c r="J8" s="20" t="s">
        <v>9</v>
      </c>
      <c r="K8" s="22">
        <v>0</v>
      </c>
      <c r="L8" s="18"/>
    </row>
    <row r="9" spans="1:12" ht="14.25" customHeight="1">
      <c r="A9" s="12" cm="1">
        <f t="array" ref="A9">ROW()-6</f>
        <v>3</v>
      </c>
      <c r="B9" s="34">
        <v>2</v>
      </c>
      <c r="C9" s="20" t="s">
        <v>65</v>
      </c>
      <c r="D9" s="15" t="s">
        <v>355</v>
      </c>
      <c r="E9" s="20" t="s">
        <v>66</v>
      </c>
      <c r="F9" s="20" t="s">
        <v>65</v>
      </c>
      <c r="G9" s="20" t="s">
        <v>67</v>
      </c>
      <c r="H9" s="20" t="s">
        <v>68</v>
      </c>
      <c r="I9" s="20" t="s">
        <v>69</v>
      </c>
      <c r="J9" s="20" t="s">
        <v>70</v>
      </c>
      <c r="K9" s="21">
        <v>3.16</v>
      </c>
      <c r="L9" s="18"/>
    </row>
    <row r="10" spans="1:12" ht="28.5" customHeight="1">
      <c r="A10" s="12" cm="1">
        <f t="array" ref="A10">ROW()-6</f>
        <v>4</v>
      </c>
      <c r="B10" s="32">
        <v>11</v>
      </c>
      <c r="C10" s="20" t="s">
        <v>49</v>
      </c>
      <c r="D10" s="15" t="s">
        <v>50</v>
      </c>
      <c r="E10" s="20" t="s">
        <v>5</v>
      </c>
      <c r="F10" s="20" t="s">
        <v>49</v>
      </c>
      <c r="G10" s="20" t="s">
        <v>51</v>
      </c>
      <c r="H10" s="20" t="s">
        <v>7</v>
      </c>
      <c r="I10" s="20" t="s">
        <v>52</v>
      </c>
      <c r="J10" s="20" t="s">
        <v>9</v>
      </c>
      <c r="K10" s="22">
        <v>0</v>
      </c>
      <c r="L10" s="18"/>
    </row>
    <row r="11" spans="1:12" ht="45" customHeight="1">
      <c r="A11" s="12" cm="1">
        <f t="array" ref="A11">ROW()-6</f>
        <v>5</v>
      </c>
      <c r="B11" s="32">
        <v>15</v>
      </c>
      <c r="C11" s="20" t="s">
        <v>10</v>
      </c>
      <c r="D11" s="15" t="s">
        <v>11</v>
      </c>
      <c r="E11" s="20" t="s">
        <v>5</v>
      </c>
      <c r="F11" s="20" t="s">
        <v>10</v>
      </c>
      <c r="G11" s="20" t="s">
        <v>12</v>
      </c>
      <c r="H11" s="20" t="s">
        <v>7</v>
      </c>
      <c r="I11" s="20" t="s">
        <v>13</v>
      </c>
      <c r="J11" s="20" t="s">
        <v>14</v>
      </c>
      <c r="K11" s="21">
        <v>0.13</v>
      </c>
      <c r="L11" s="18"/>
    </row>
    <row r="12" spans="1:12" ht="14.25" customHeight="1">
      <c r="A12" s="12" cm="1">
        <f t="array" ref="A12">ROW()-6</f>
        <v>6</v>
      </c>
      <c r="B12" s="34">
        <v>2</v>
      </c>
      <c r="C12" s="20" t="s">
        <v>34</v>
      </c>
      <c r="D12" s="15" t="s">
        <v>35</v>
      </c>
      <c r="E12" s="20" t="s">
        <v>5</v>
      </c>
      <c r="F12" s="20" t="s">
        <v>34</v>
      </c>
      <c r="G12" s="20" t="s">
        <v>36</v>
      </c>
      <c r="H12" s="20" t="s">
        <v>7</v>
      </c>
      <c r="I12" s="20" t="s">
        <v>37</v>
      </c>
      <c r="J12" s="20" t="s">
        <v>38</v>
      </c>
      <c r="K12" s="21">
        <v>0.69</v>
      </c>
      <c r="L12" s="18"/>
    </row>
    <row r="13" spans="1:12" ht="14.25" customHeight="1">
      <c r="A13" s="12" cm="1">
        <f t="array" ref="A13">ROW()-6</f>
        <v>7</v>
      </c>
      <c r="B13" s="32">
        <v>2</v>
      </c>
      <c r="C13" s="20" t="s">
        <v>19</v>
      </c>
      <c r="D13" s="15" t="s">
        <v>20</v>
      </c>
      <c r="E13" s="20" t="s">
        <v>5</v>
      </c>
      <c r="F13" s="20" t="s">
        <v>19</v>
      </c>
      <c r="G13" s="20" t="s">
        <v>21</v>
      </c>
      <c r="H13" s="20" t="s">
        <v>7</v>
      </c>
      <c r="I13" s="20" t="s">
        <v>22</v>
      </c>
      <c r="J13" s="20" t="s">
        <v>9</v>
      </c>
      <c r="K13" s="22">
        <v>0</v>
      </c>
      <c r="L13" s="18"/>
    </row>
    <row r="14" spans="1:12" ht="29.25" customHeight="1">
      <c r="A14" s="12" cm="1">
        <f t="array" ref="A14">ROW()-6</f>
        <v>8</v>
      </c>
      <c r="B14" s="32">
        <v>11</v>
      </c>
      <c r="C14" s="20" t="s">
        <v>44</v>
      </c>
      <c r="D14" s="15" t="s">
        <v>45</v>
      </c>
      <c r="E14" s="20" t="s">
        <v>5</v>
      </c>
      <c r="F14" s="20" t="s">
        <v>44</v>
      </c>
      <c r="G14" s="20" t="s">
        <v>46</v>
      </c>
      <c r="H14" s="20" t="s">
        <v>7</v>
      </c>
      <c r="I14" s="20" t="s">
        <v>47</v>
      </c>
      <c r="J14" s="20" t="s">
        <v>48</v>
      </c>
      <c r="K14" s="21">
        <v>0.14000000000000001</v>
      </c>
      <c r="L14" s="18"/>
    </row>
    <row r="15" spans="1:12" ht="14.25" customHeight="1">
      <c r="A15" s="12" cm="1">
        <f t="array" ref="A15">ROW()-6</f>
        <v>9</v>
      </c>
      <c r="B15" s="32">
        <v>6</v>
      </c>
      <c r="C15" s="20" t="s">
        <v>23</v>
      </c>
      <c r="D15" s="15" t="s">
        <v>24</v>
      </c>
      <c r="E15" s="20" t="s">
        <v>5</v>
      </c>
      <c r="F15" s="20" t="s">
        <v>23</v>
      </c>
      <c r="G15" s="20" t="s">
        <v>25</v>
      </c>
      <c r="H15" s="20" t="s">
        <v>7</v>
      </c>
      <c r="I15" s="20" t="s">
        <v>26</v>
      </c>
      <c r="J15" s="20" t="s">
        <v>27</v>
      </c>
      <c r="K15" s="21">
        <v>0.66</v>
      </c>
      <c r="L15" s="18"/>
    </row>
    <row r="16" spans="1:12" ht="14.25" customHeight="1">
      <c r="A16" s="12" cm="1">
        <f t="array" ref="A16">ROW()-6</f>
        <v>10</v>
      </c>
      <c r="B16" s="32">
        <v>4</v>
      </c>
      <c r="C16" s="20" t="s">
        <v>4</v>
      </c>
      <c r="D16" s="15" t="s">
        <v>336</v>
      </c>
      <c r="E16" s="20" t="s">
        <v>5</v>
      </c>
      <c r="F16" s="20" t="s">
        <v>4</v>
      </c>
      <c r="G16" s="20" t="s">
        <v>6</v>
      </c>
      <c r="H16" s="20" t="s">
        <v>7</v>
      </c>
      <c r="I16" s="20" t="s">
        <v>8</v>
      </c>
      <c r="J16" s="20" t="s">
        <v>9</v>
      </c>
      <c r="K16" s="22">
        <v>0</v>
      </c>
      <c r="L16" s="18"/>
    </row>
    <row r="17" spans="1:12" ht="14.25" customHeight="1">
      <c r="A17" s="12" cm="1">
        <f t="array" ref="A17">ROW()-6</f>
        <v>11</v>
      </c>
      <c r="B17" s="32">
        <v>1</v>
      </c>
      <c r="C17" s="20" t="s">
        <v>28</v>
      </c>
      <c r="D17" s="15" t="s">
        <v>29</v>
      </c>
      <c r="E17" s="20" t="s">
        <v>5</v>
      </c>
      <c r="F17" s="20" t="s">
        <v>28</v>
      </c>
      <c r="G17" s="20" t="s">
        <v>30</v>
      </c>
      <c r="H17" s="20" t="s">
        <v>31</v>
      </c>
      <c r="I17" s="20" t="s">
        <v>32</v>
      </c>
      <c r="J17" s="20" t="s">
        <v>33</v>
      </c>
      <c r="K17" s="21">
        <v>0.6</v>
      </c>
      <c r="L17" s="18"/>
    </row>
    <row r="18" spans="1:12" ht="14.25" customHeight="1">
      <c r="A18" s="12" cm="1">
        <f t="array" ref="A18">ROW()-6</f>
        <v>12</v>
      </c>
      <c r="B18" s="32">
        <v>2</v>
      </c>
      <c r="C18" s="20" t="s">
        <v>15</v>
      </c>
      <c r="D18" s="15" t="s">
        <v>16</v>
      </c>
      <c r="E18" s="20" t="s">
        <v>5</v>
      </c>
      <c r="F18" s="20" t="s">
        <v>15</v>
      </c>
      <c r="G18" s="20" t="s">
        <v>17</v>
      </c>
      <c r="H18" s="20" t="s">
        <v>7</v>
      </c>
      <c r="I18" s="20" t="s">
        <v>18</v>
      </c>
      <c r="J18" s="20" t="s">
        <v>9</v>
      </c>
      <c r="K18" s="22">
        <v>0</v>
      </c>
      <c r="L18" s="18"/>
    </row>
    <row r="19" spans="1:12" ht="14.25" customHeight="1">
      <c r="A19" s="12" cm="1">
        <f t="array" ref="A19">ROW()-6</f>
        <v>13</v>
      </c>
      <c r="B19" s="32">
        <v>1</v>
      </c>
      <c r="C19" s="20" t="s">
        <v>39</v>
      </c>
      <c r="D19" s="15" t="s">
        <v>40</v>
      </c>
      <c r="E19" s="20" t="s">
        <v>5</v>
      </c>
      <c r="F19" s="20" t="s">
        <v>39</v>
      </c>
      <c r="G19" s="20" t="s">
        <v>41</v>
      </c>
      <c r="H19" s="20" t="s">
        <v>7</v>
      </c>
      <c r="I19" s="20" t="s">
        <v>42</v>
      </c>
      <c r="J19" s="20" t="s">
        <v>43</v>
      </c>
      <c r="K19" s="21">
        <v>0.7</v>
      </c>
      <c r="L19" s="18"/>
    </row>
    <row r="21" spans="1:12" ht="14.25" customHeight="1">
      <c r="A21" s="12" cm="1">
        <f t="array" ref="A21">ROW()-6</f>
        <v>15</v>
      </c>
      <c r="B21" s="33">
        <v>1</v>
      </c>
      <c r="C21" s="20" t="s">
        <v>76</v>
      </c>
      <c r="D21" s="15" t="s">
        <v>77</v>
      </c>
      <c r="E21" s="20" t="s">
        <v>71</v>
      </c>
      <c r="F21" s="20" t="s">
        <v>76</v>
      </c>
      <c r="G21" s="20" t="s">
        <v>78</v>
      </c>
      <c r="H21" s="20" t="s">
        <v>74</v>
      </c>
      <c r="I21" s="20" t="s">
        <v>79</v>
      </c>
      <c r="J21" s="20" t="s">
        <v>9</v>
      </c>
      <c r="K21" s="22">
        <v>0</v>
      </c>
      <c r="L21" s="18"/>
    </row>
    <row r="22" spans="1:12" ht="14.25" customHeight="1">
      <c r="A22" s="12" cm="1">
        <f t="array" ref="A22">ROW()-6</f>
        <v>16</v>
      </c>
      <c r="B22" s="33">
        <v>4</v>
      </c>
      <c r="C22" s="20" t="s">
        <v>83</v>
      </c>
      <c r="D22" s="15" t="s">
        <v>84</v>
      </c>
      <c r="E22" s="20" t="s">
        <v>71</v>
      </c>
      <c r="F22" s="20" t="s">
        <v>83</v>
      </c>
      <c r="G22" s="20" t="s">
        <v>85</v>
      </c>
      <c r="H22" s="20" t="s">
        <v>74</v>
      </c>
      <c r="I22" s="20" t="s">
        <v>86</v>
      </c>
      <c r="J22" s="20" t="s">
        <v>87</v>
      </c>
      <c r="K22" s="21">
        <v>3.42</v>
      </c>
      <c r="L22" s="18"/>
    </row>
    <row r="23" spans="1:12" ht="63" customHeight="1">
      <c r="A23" s="12" cm="1">
        <f t="array" ref="A23">ROW()-6</f>
        <v>17</v>
      </c>
      <c r="B23" s="32">
        <v>7</v>
      </c>
      <c r="C23" s="20" t="s">
        <v>72</v>
      </c>
      <c r="D23" s="15" t="s">
        <v>320</v>
      </c>
      <c r="E23" s="20" t="s">
        <v>71</v>
      </c>
      <c r="F23" s="20" t="s">
        <v>72</v>
      </c>
      <c r="G23" s="23" t="s">
        <v>73</v>
      </c>
      <c r="H23" s="20" t="s">
        <v>74</v>
      </c>
      <c r="I23" s="20" t="s">
        <v>75</v>
      </c>
      <c r="J23" s="20" t="s">
        <v>9</v>
      </c>
      <c r="K23" s="22">
        <v>0</v>
      </c>
      <c r="L23" s="18"/>
    </row>
    <row r="24" spans="1:12" ht="30" customHeight="1">
      <c r="A24" s="12" cm="1">
        <f t="array" ref="A24">ROW()-6</f>
        <v>18</v>
      </c>
      <c r="B24" s="33">
        <v>15</v>
      </c>
      <c r="C24" s="20" t="s">
        <v>80</v>
      </c>
      <c r="D24" s="15" t="s">
        <v>337</v>
      </c>
      <c r="E24" s="20" t="s">
        <v>71</v>
      </c>
      <c r="F24" s="20" t="s">
        <v>80</v>
      </c>
      <c r="G24" s="20" t="s">
        <v>81</v>
      </c>
      <c r="H24" s="20" t="s">
        <v>74</v>
      </c>
      <c r="I24" s="20" t="s">
        <v>82</v>
      </c>
      <c r="J24" s="20" t="s">
        <v>9</v>
      </c>
      <c r="K24" s="22">
        <v>0</v>
      </c>
      <c r="L24" s="18"/>
    </row>
    <row r="25" spans="1:12" ht="14.25" customHeight="1">
      <c r="A25" s="12" cm="1">
        <f t="array" ref="A25">ROW()-6</f>
        <v>19</v>
      </c>
      <c r="B25" s="32">
        <v>5</v>
      </c>
      <c r="C25" s="20" t="s">
        <v>88</v>
      </c>
      <c r="D25" s="15" t="s">
        <v>89</v>
      </c>
      <c r="E25" s="20" t="s">
        <v>71</v>
      </c>
      <c r="F25" s="20" t="s">
        <v>88</v>
      </c>
      <c r="G25" s="20" t="s">
        <v>90</v>
      </c>
      <c r="H25" s="20" t="s">
        <v>74</v>
      </c>
      <c r="I25" s="20" t="s">
        <v>91</v>
      </c>
      <c r="J25" s="20" t="s">
        <v>92</v>
      </c>
      <c r="K25" s="21">
        <v>3.88</v>
      </c>
      <c r="L25" s="18"/>
    </row>
    <row r="26" spans="1:12" ht="14.25" customHeight="1">
      <c r="A26" s="12" cm="1">
        <f t="array" ref="A26">ROW()-6</f>
        <v>20</v>
      </c>
      <c r="B26" s="33">
        <v>2</v>
      </c>
      <c r="C26" s="20" t="s">
        <v>93</v>
      </c>
      <c r="D26" s="15" t="s">
        <v>94</v>
      </c>
      <c r="E26" s="20" t="s">
        <v>95</v>
      </c>
      <c r="F26" s="20" t="s">
        <v>93</v>
      </c>
      <c r="G26" s="20" t="s">
        <v>96</v>
      </c>
      <c r="H26" s="20" t="s">
        <v>74</v>
      </c>
      <c r="I26" s="20" t="s">
        <v>97</v>
      </c>
      <c r="J26" s="20" t="s">
        <v>98</v>
      </c>
      <c r="K26" s="21">
        <v>1.41</v>
      </c>
      <c r="L26" s="18"/>
    </row>
    <row r="27" spans="1:12" ht="14.25" customHeight="1">
      <c r="A27" s="12" cm="1">
        <f t="array" ref="A27">ROW()-6</f>
        <v>21</v>
      </c>
      <c r="B27" s="33">
        <v>2</v>
      </c>
      <c r="C27" s="20" t="s">
        <v>99</v>
      </c>
      <c r="D27" s="15" t="s">
        <v>100</v>
      </c>
      <c r="E27" s="20" t="s">
        <v>95</v>
      </c>
      <c r="F27" s="20" t="s">
        <v>99</v>
      </c>
      <c r="G27" s="20" t="s">
        <v>101</v>
      </c>
      <c r="H27" s="20" t="s">
        <v>74</v>
      </c>
      <c r="I27" s="20" t="s">
        <v>102</v>
      </c>
      <c r="J27" s="20" t="s">
        <v>103</v>
      </c>
      <c r="K27" s="21">
        <v>1.55</v>
      </c>
      <c r="L27" s="18"/>
    </row>
    <row r="28" spans="1:12" ht="14.25" customHeight="1">
      <c r="A28" s="12">
        <v>22</v>
      </c>
      <c r="B28" s="33">
        <v>4</v>
      </c>
      <c r="C28" s="20" t="s">
        <v>93</v>
      </c>
      <c r="D28" s="15" t="s">
        <v>104</v>
      </c>
      <c r="E28" s="20" t="s">
        <v>105</v>
      </c>
      <c r="F28" s="20" t="s">
        <v>353</v>
      </c>
      <c r="G28" s="20" t="s">
        <v>106</v>
      </c>
      <c r="H28" s="20" t="s">
        <v>74</v>
      </c>
      <c r="I28" s="20" t="s">
        <v>107</v>
      </c>
      <c r="J28" s="20" t="s">
        <v>9</v>
      </c>
      <c r="K28" s="22">
        <v>0</v>
      </c>
      <c r="L28" s="18"/>
    </row>
    <row r="29" spans="1:12" ht="14.25" customHeight="1">
      <c r="A29" s="12">
        <v>23</v>
      </c>
      <c r="B29" s="33">
        <v>3</v>
      </c>
      <c r="C29" s="20" t="s">
        <v>99</v>
      </c>
      <c r="D29" s="15" t="s">
        <v>108</v>
      </c>
      <c r="E29" s="20" t="s">
        <v>105</v>
      </c>
      <c r="F29" s="20" t="s">
        <v>354</v>
      </c>
      <c r="G29" s="20" t="s">
        <v>109</v>
      </c>
      <c r="H29" s="20" t="s">
        <v>74</v>
      </c>
      <c r="I29" s="20" t="s">
        <v>110</v>
      </c>
      <c r="J29" s="20" t="s">
        <v>9</v>
      </c>
      <c r="K29" s="22">
        <v>0</v>
      </c>
      <c r="L29" s="18"/>
    </row>
    <row r="30" spans="1:12" ht="14.25" customHeight="1">
      <c r="A30" s="12" cm="1">
        <f t="array" ref="A30">ROW()-6</f>
        <v>24</v>
      </c>
      <c r="B30" s="33">
        <v>4</v>
      </c>
      <c r="C30" s="20" t="s">
        <v>111</v>
      </c>
      <c r="D30" s="15" t="s">
        <v>123</v>
      </c>
      <c r="E30" s="20" t="s">
        <v>124</v>
      </c>
      <c r="F30" s="20" t="s">
        <v>351</v>
      </c>
      <c r="G30" s="23" t="s">
        <v>114</v>
      </c>
      <c r="H30" s="23"/>
      <c r="I30" s="20" t="s">
        <v>121</v>
      </c>
      <c r="J30" s="20" t="s">
        <v>9</v>
      </c>
      <c r="K30" s="22">
        <v>0</v>
      </c>
      <c r="L30" s="18"/>
    </row>
    <row r="31" spans="1:12" ht="14.25" customHeight="1">
      <c r="A31" s="12" cm="1">
        <f t="array" ref="A31">ROW()-6</f>
        <v>25</v>
      </c>
      <c r="B31" s="33">
        <v>5</v>
      </c>
      <c r="C31" s="20" t="s">
        <v>111</v>
      </c>
      <c r="D31" s="15" t="s">
        <v>112</v>
      </c>
      <c r="E31" s="20" t="s">
        <v>113</v>
      </c>
      <c r="F31" s="20" t="s">
        <v>348</v>
      </c>
      <c r="G31" s="20" t="s">
        <v>352</v>
      </c>
      <c r="H31" s="23"/>
      <c r="I31" s="20" t="s">
        <v>121</v>
      </c>
      <c r="J31" s="20" t="s">
        <v>9</v>
      </c>
      <c r="K31" s="22">
        <v>0</v>
      </c>
      <c r="L31" s="18"/>
    </row>
    <row r="32" spans="1:12" ht="14.25" customHeight="1">
      <c r="A32" s="12" cm="1">
        <f t="array" ref="A32">ROW()-6</f>
        <v>26</v>
      </c>
      <c r="B32" s="33">
        <v>1</v>
      </c>
      <c r="C32" s="20" t="s">
        <v>115</v>
      </c>
      <c r="D32" s="15" t="s">
        <v>116</v>
      </c>
      <c r="E32" s="20" t="s">
        <v>117</v>
      </c>
      <c r="F32" s="20" t="s">
        <v>349</v>
      </c>
      <c r="G32" s="20" t="s">
        <v>114</v>
      </c>
      <c r="H32" s="23"/>
      <c r="I32" s="20" t="s">
        <v>121</v>
      </c>
      <c r="J32" s="20" t="s">
        <v>9</v>
      </c>
      <c r="K32" s="22">
        <v>0</v>
      </c>
      <c r="L32" s="18"/>
    </row>
    <row r="33" spans="1:12" ht="14.25" customHeight="1">
      <c r="A33" s="12" cm="1">
        <f t="array" ref="A33">ROW()-6</f>
        <v>27</v>
      </c>
      <c r="B33" s="33">
        <v>2</v>
      </c>
      <c r="C33" s="20" t="s">
        <v>118</v>
      </c>
      <c r="D33" s="15" t="s">
        <v>119</v>
      </c>
      <c r="E33" s="20" t="s">
        <v>120</v>
      </c>
      <c r="F33" s="20" t="s">
        <v>350</v>
      </c>
      <c r="G33" s="20" t="s">
        <v>114</v>
      </c>
      <c r="H33" s="23"/>
      <c r="I33" s="20" t="s">
        <v>121</v>
      </c>
      <c r="J33" s="20" t="s">
        <v>122</v>
      </c>
      <c r="K33" s="21">
        <v>5.3</v>
      </c>
      <c r="L33" s="18"/>
    </row>
    <row r="35" spans="1:12" ht="14.25" customHeight="1">
      <c r="A35" s="12" cm="1">
        <f t="array" ref="A35">ROW()-6</f>
        <v>29</v>
      </c>
      <c r="B35" s="33">
        <v>1</v>
      </c>
      <c r="C35" s="20" t="s">
        <v>135</v>
      </c>
      <c r="D35" s="15" t="s">
        <v>136</v>
      </c>
      <c r="E35" s="20" t="s">
        <v>137</v>
      </c>
      <c r="F35" s="20" t="s">
        <v>135</v>
      </c>
      <c r="G35" s="20" t="s">
        <v>138</v>
      </c>
      <c r="H35" s="20" t="s">
        <v>139</v>
      </c>
      <c r="I35" s="20" t="s">
        <v>140</v>
      </c>
      <c r="J35" s="20" t="s">
        <v>141</v>
      </c>
      <c r="K35" s="21">
        <v>4.32</v>
      </c>
      <c r="L35" s="18"/>
    </row>
    <row r="36" spans="1:12" ht="14.25" customHeight="1">
      <c r="A36" s="12" cm="1">
        <f t="array" ref="A36">ROW()-6</f>
        <v>30</v>
      </c>
      <c r="B36" s="33">
        <v>1</v>
      </c>
      <c r="C36" s="20" t="s">
        <v>125</v>
      </c>
      <c r="D36" s="15" t="s">
        <v>130</v>
      </c>
      <c r="E36" s="20" t="s">
        <v>131</v>
      </c>
      <c r="F36" s="20" t="s">
        <v>125</v>
      </c>
      <c r="G36" s="20" t="s">
        <v>132</v>
      </c>
      <c r="H36" s="20" t="s">
        <v>133</v>
      </c>
      <c r="I36" s="20" t="s">
        <v>134</v>
      </c>
      <c r="J36" s="20" t="s">
        <v>9</v>
      </c>
      <c r="K36" s="22">
        <v>0</v>
      </c>
      <c r="L36" s="18"/>
    </row>
    <row r="37" spans="1:12" ht="14.25" customHeight="1">
      <c r="A37" s="12" cm="1">
        <f t="array" ref="A37">ROW()-6</f>
        <v>31</v>
      </c>
      <c r="B37" s="33">
        <v>2</v>
      </c>
      <c r="C37" s="20" t="s">
        <v>125</v>
      </c>
      <c r="D37" s="15" t="s">
        <v>126</v>
      </c>
      <c r="E37" s="20" t="s">
        <v>127</v>
      </c>
      <c r="F37" s="20" t="s">
        <v>125</v>
      </c>
      <c r="G37" s="20" t="s">
        <v>128</v>
      </c>
      <c r="H37" s="23"/>
      <c r="I37" s="20" t="s">
        <v>121</v>
      </c>
      <c r="J37" s="20" t="s">
        <v>129</v>
      </c>
      <c r="K37" s="21">
        <v>7.25</v>
      </c>
      <c r="L37" s="18"/>
    </row>
    <row r="38" spans="1:12" ht="14.25" customHeight="1">
      <c r="A38" s="12" cm="1">
        <f t="array" ref="A38">ROW()-6</f>
        <v>32</v>
      </c>
      <c r="B38" s="33">
        <v>1</v>
      </c>
      <c r="C38" s="20" t="s">
        <v>142</v>
      </c>
      <c r="D38" s="15" t="s">
        <v>143</v>
      </c>
      <c r="E38" s="20" t="s">
        <v>144</v>
      </c>
      <c r="F38" s="20" t="s">
        <v>142</v>
      </c>
      <c r="G38" s="20" t="s">
        <v>145</v>
      </c>
      <c r="H38" s="20" t="s">
        <v>146</v>
      </c>
      <c r="I38" s="20" t="s">
        <v>147</v>
      </c>
      <c r="J38" s="20" t="s">
        <v>148</v>
      </c>
      <c r="K38" s="21">
        <v>5.31</v>
      </c>
      <c r="L38" s="18"/>
    </row>
    <row r="40" spans="1:12" ht="14.25" customHeight="1">
      <c r="A40" s="12" cm="1">
        <f t="array" ref="A40">ROW()-6</f>
        <v>34</v>
      </c>
      <c r="B40" s="33">
        <v>1</v>
      </c>
      <c r="C40" s="20" t="s">
        <v>149</v>
      </c>
      <c r="D40" s="15" t="s">
        <v>150</v>
      </c>
      <c r="E40" s="20" t="s">
        <v>151</v>
      </c>
      <c r="F40" s="23"/>
      <c r="G40" s="20" t="s">
        <v>149</v>
      </c>
      <c r="H40" s="23"/>
      <c r="I40" s="20" t="s">
        <v>9</v>
      </c>
      <c r="J40" s="20" t="s">
        <v>9</v>
      </c>
      <c r="K40" s="22">
        <v>0</v>
      </c>
      <c r="L40" s="18"/>
    </row>
    <row r="41" spans="1:12" ht="14.25" customHeight="1">
      <c r="A41" s="12" cm="1">
        <f t="array" ref="A41">ROW()-6</f>
        <v>35</v>
      </c>
      <c r="B41" s="33">
        <v>1</v>
      </c>
      <c r="C41" s="20" t="s">
        <v>165</v>
      </c>
      <c r="D41" s="15" t="s">
        <v>166</v>
      </c>
      <c r="E41" s="20" t="s">
        <v>167</v>
      </c>
      <c r="F41" s="23"/>
      <c r="G41" s="20" t="s">
        <v>165</v>
      </c>
      <c r="H41" s="20" t="s">
        <v>168</v>
      </c>
      <c r="I41" s="20" t="s">
        <v>358</v>
      </c>
      <c r="J41" s="20" t="s">
        <v>169</v>
      </c>
      <c r="K41" s="21">
        <v>0.71</v>
      </c>
      <c r="L41" s="18"/>
    </row>
    <row r="42" spans="1:12" ht="14.25" customHeight="1">
      <c r="A42" s="12" cm="1">
        <f t="array" ref="A42">ROW()-6</f>
        <v>36</v>
      </c>
      <c r="B42" s="32">
        <v>1</v>
      </c>
      <c r="C42" s="20" t="s">
        <v>170</v>
      </c>
      <c r="D42" s="15" t="s">
        <v>171</v>
      </c>
      <c r="E42" s="20" t="s">
        <v>172</v>
      </c>
      <c r="F42" s="23"/>
      <c r="G42" s="20" t="s">
        <v>359</v>
      </c>
      <c r="H42" s="20" t="s">
        <v>173</v>
      </c>
      <c r="I42" s="20" t="s">
        <v>174</v>
      </c>
      <c r="J42" s="20" t="s">
        <v>175</v>
      </c>
      <c r="K42" s="21">
        <v>3.01</v>
      </c>
      <c r="L42" s="18"/>
    </row>
    <row r="43" spans="1:12" ht="14.25" customHeight="1">
      <c r="A43" s="12" cm="1">
        <f t="array" ref="A43">ROW()-6</f>
        <v>37</v>
      </c>
      <c r="B43" s="33">
        <v>1</v>
      </c>
      <c r="C43" s="20" t="s">
        <v>176</v>
      </c>
      <c r="D43" s="15" t="s">
        <v>177</v>
      </c>
      <c r="E43" s="20" t="s">
        <v>178</v>
      </c>
      <c r="F43" s="23"/>
      <c r="G43" s="20" t="s">
        <v>176</v>
      </c>
      <c r="H43" s="20" t="s">
        <v>179</v>
      </c>
      <c r="I43" s="20" t="s">
        <v>180</v>
      </c>
      <c r="J43" s="20" t="s">
        <v>181</v>
      </c>
      <c r="K43" s="21">
        <v>2.68</v>
      </c>
      <c r="L43" s="18"/>
    </row>
    <row r="45" spans="1:12" ht="14.25" customHeight="1">
      <c r="A45" s="12" cm="1">
        <f t="array" ref="A45">ROW()-6</f>
        <v>39</v>
      </c>
      <c r="B45" s="32">
        <v>2</v>
      </c>
      <c r="C45" s="20" t="s">
        <v>152</v>
      </c>
      <c r="D45" s="15" t="s">
        <v>153</v>
      </c>
      <c r="E45" s="20" t="s">
        <v>154</v>
      </c>
      <c r="F45" s="23"/>
      <c r="G45" s="20" t="s">
        <v>152</v>
      </c>
      <c r="H45" s="20" t="s">
        <v>155</v>
      </c>
      <c r="I45" s="20" t="s">
        <v>156</v>
      </c>
      <c r="J45" s="20" t="s">
        <v>157</v>
      </c>
      <c r="K45" s="21">
        <v>4.34</v>
      </c>
      <c r="L45" s="18"/>
    </row>
    <row r="46" spans="1:12" ht="14.25" customHeight="1">
      <c r="A46" s="12" cm="1">
        <f t="array" ref="A46">ROW()-6</f>
        <v>40</v>
      </c>
      <c r="B46" s="33">
        <v>1</v>
      </c>
      <c r="C46" s="20" t="s">
        <v>158</v>
      </c>
      <c r="D46" s="15" t="s">
        <v>159</v>
      </c>
      <c r="E46" s="20" t="s">
        <v>160</v>
      </c>
      <c r="F46" s="23"/>
      <c r="G46" s="20" t="s">
        <v>158</v>
      </c>
      <c r="H46" s="20" t="s">
        <v>155</v>
      </c>
      <c r="I46" s="20" t="s">
        <v>161</v>
      </c>
      <c r="J46" s="20" t="s">
        <v>9</v>
      </c>
      <c r="K46" s="22">
        <v>0</v>
      </c>
      <c r="L46" s="18"/>
    </row>
    <row r="47" spans="1:12" ht="14.25" customHeight="1">
      <c r="A47" s="12" cm="1">
        <f t="array" ref="A47">ROW()-6</f>
        <v>41</v>
      </c>
      <c r="B47" s="34">
        <v>3</v>
      </c>
      <c r="C47" s="20" t="s">
        <v>162</v>
      </c>
      <c r="D47" s="15" t="s">
        <v>163</v>
      </c>
      <c r="E47" s="20" t="s">
        <v>160</v>
      </c>
      <c r="F47" s="23"/>
      <c r="G47" s="20" t="s">
        <v>162</v>
      </c>
      <c r="H47" s="20" t="s">
        <v>155</v>
      </c>
      <c r="I47" s="20" t="s">
        <v>164</v>
      </c>
      <c r="J47" s="20" t="s">
        <v>9</v>
      </c>
      <c r="K47" s="22">
        <v>0</v>
      </c>
      <c r="L47" s="18"/>
    </row>
    <row r="48" spans="1:12" ht="14.25" customHeight="1">
      <c r="A48" s="12" cm="1">
        <f t="array" ref="A48">ROW()-6</f>
        <v>42</v>
      </c>
      <c r="B48" s="34">
        <v>2</v>
      </c>
      <c r="C48" s="20" t="s">
        <v>182</v>
      </c>
      <c r="D48" s="15" t="s">
        <v>183</v>
      </c>
      <c r="E48" s="20" t="s">
        <v>184</v>
      </c>
      <c r="F48" s="23"/>
      <c r="G48" s="20" t="s">
        <v>182</v>
      </c>
      <c r="H48" s="20" t="s">
        <v>185</v>
      </c>
      <c r="I48" s="20" t="s">
        <v>186</v>
      </c>
      <c r="J48" s="20" t="s">
        <v>9</v>
      </c>
      <c r="K48" s="22">
        <v>0</v>
      </c>
      <c r="L48" s="18"/>
    </row>
    <row r="49" spans="1:12" ht="31.5" customHeight="1">
      <c r="A49" s="12" cm="1">
        <f t="array" ref="A49">ROW()-6</f>
        <v>43</v>
      </c>
      <c r="B49" s="34">
        <v>10</v>
      </c>
      <c r="C49" s="20" t="s">
        <v>223</v>
      </c>
      <c r="D49" s="15" t="s">
        <v>224</v>
      </c>
      <c r="E49" s="20" t="s">
        <v>225</v>
      </c>
      <c r="F49" s="23" t="s">
        <v>347</v>
      </c>
      <c r="G49" s="20" t="s">
        <v>223</v>
      </c>
      <c r="H49" s="20" t="s">
        <v>226</v>
      </c>
      <c r="I49" s="20" t="s">
        <v>121</v>
      </c>
      <c r="J49" s="20" t="s">
        <v>227</v>
      </c>
      <c r="K49" s="21">
        <v>6</v>
      </c>
      <c r="L49" s="18"/>
    </row>
    <row r="51" spans="1:12" ht="14.25" customHeight="1">
      <c r="A51" s="12" cm="1">
        <f t="array" ref="A51">ROW()-6</f>
        <v>45</v>
      </c>
      <c r="B51" s="34">
        <v>1</v>
      </c>
      <c r="C51" s="20" t="s">
        <v>187</v>
      </c>
      <c r="D51" s="15" t="s">
        <v>188</v>
      </c>
      <c r="E51" s="20" t="s">
        <v>189</v>
      </c>
      <c r="F51" s="23"/>
      <c r="G51" s="20" t="s">
        <v>187</v>
      </c>
      <c r="H51" s="20" t="s">
        <v>190</v>
      </c>
      <c r="I51" s="20" t="s">
        <v>191</v>
      </c>
      <c r="J51" s="20" t="s">
        <v>9</v>
      </c>
      <c r="K51" s="22">
        <v>0</v>
      </c>
      <c r="L51" s="18"/>
    </row>
    <row r="52" spans="1:12" ht="14.25" customHeight="1">
      <c r="A52" s="12" cm="1">
        <f t="array" ref="A52">ROW()-6</f>
        <v>46</v>
      </c>
      <c r="B52" s="34">
        <v>1</v>
      </c>
      <c r="C52" s="20" t="s">
        <v>192</v>
      </c>
      <c r="D52" s="15" t="s">
        <v>193</v>
      </c>
      <c r="E52" s="20" t="s">
        <v>194</v>
      </c>
      <c r="F52" s="23"/>
      <c r="G52" s="20" t="s">
        <v>192</v>
      </c>
      <c r="H52" s="23"/>
      <c r="I52" s="20" t="s">
        <v>121</v>
      </c>
      <c r="J52" s="20" t="s">
        <v>195</v>
      </c>
      <c r="K52" s="21">
        <v>7</v>
      </c>
      <c r="L52" s="18"/>
    </row>
    <row r="53" spans="1:12" ht="14.25" customHeight="1">
      <c r="A53" s="12" cm="1">
        <f t="array" ref="A53">ROW()-6</f>
        <v>47</v>
      </c>
      <c r="B53" s="33">
        <v>1</v>
      </c>
      <c r="C53" s="20" t="s">
        <v>196</v>
      </c>
      <c r="D53" s="15" t="s">
        <v>197</v>
      </c>
      <c r="E53" s="20" t="s">
        <v>198</v>
      </c>
      <c r="F53" s="23"/>
      <c r="G53" s="20" t="s">
        <v>196</v>
      </c>
      <c r="H53" s="20" t="s">
        <v>199</v>
      </c>
      <c r="I53" s="20" t="s">
        <v>200</v>
      </c>
      <c r="J53" s="20" t="s">
        <v>201</v>
      </c>
      <c r="K53" s="21">
        <v>7.65</v>
      </c>
      <c r="L53" s="18"/>
    </row>
    <row r="54" spans="1:12" ht="14.25" customHeight="1">
      <c r="A54" s="12" cm="1">
        <f t="array" ref="A54">ROW()-6</f>
        <v>48</v>
      </c>
      <c r="B54" s="34">
        <v>1</v>
      </c>
      <c r="C54" s="20" t="s">
        <v>202</v>
      </c>
      <c r="D54" s="15" t="s">
        <v>203</v>
      </c>
      <c r="E54" s="20" t="s">
        <v>204</v>
      </c>
      <c r="F54" s="23"/>
      <c r="G54" s="20" t="s">
        <v>202</v>
      </c>
      <c r="H54" s="23"/>
      <c r="I54" s="20" t="s">
        <v>121</v>
      </c>
      <c r="J54" s="20" t="s">
        <v>205</v>
      </c>
      <c r="K54" s="21">
        <v>6.8</v>
      </c>
      <c r="L54" s="18"/>
    </row>
    <row r="55" spans="1:12" ht="14.25" customHeight="1">
      <c r="A55" s="12" cm="1">
        <f t="array" ref="A55">ROW()-6</f>
        <v>49</v>
      </c>
      <c r="B55" s="34">
        <v>1</v>
      </c>
      <c r="C55" s="20" t="s">
        <v>206</v>
      </c>
      <c r="D55" s="15" t="s">
        <v>207</v>
      </c>
      <c r="E55" s="20" t="s">
        <v>208</v>
      </c>
      <c r="F55" s="23"/>
      <c r="G55" s="20" t="s">
        <v>206</v>
      </c>
      <c r="H55" s="20" t="s">
        <v>209</v>
      </c>
      <c r="I55" s="20" t="s">
        <v>210</v>
      </c>
      <c r="J55" s="20" t="s">
        <v>211</v>
      </c>
      <c r="K55" s="21">
        <v>4.54</v>
      </c>
      <c r="L55" s="18"/>
    </row>
    <row r="56" spans="1:12" ht="14.25" customHeight="1">
      <c r="A56" s="12" cm="1">
        <f t="array" ref="A56">ROW()-6</f>
        <v>50</v>
      </c>
      <c r="B56" s="34">
        <v>1</v>
      </c>
      <c r="C56" s="20" t="s">
        <v>212</v>
      </c>
      <c r="D56" s="15" t="s">
        <v>213</v>
      </c>
      <c r="E56" s="20" t="s">
        <v>214</v>
      </c>
      <c r="F56" s="23"/>
      <c r="G56" s="20" t="s">
        <v>212</v>
      </c>
      <c r="H56" s="20" t="s">
        <v>215</v>
      </c>
      <c r="I56" s="20" t="s">
        <v>216</v>
      </c>
      <c r="J56" s="20" t="s">
        <v>217</v>
      </c>
      <c r="K56" s="21">
        <v>4.1100000000000003</v>
      </c>
      <c r="L56" s="18"/>
    </row>
    <row r="57" spans="1:12" ht="14.25" customHeight="1">
      <c r="A57" s="12" cm="1">
        <f t="array" ref="A57">ROW()-6</f>
        <v>51</v>
      </c>
      <c r="B57" s="35">
        <v>1</v>
      </c>
      <c r="C57" s="20" t="s">
        <v>218</v>
      </c>
      <c r="D57" s="15" t="s">
        <v>219</v>
      </c>
      <c r="E57" s="20" t="s">
        <v>220</v>
      </c>
      <c r="F57" s="23"/>
      <c r="G57" s="20" t="s">
        <v>218</v>
      </c>
      <c r="H57" s="20" t="s">
        <v>209</v>
      </c>
      <c r="I57" s="20" t="s">
        <v>221</v>
      </c>
      <c r="J57" s="20" t="s">
        <v>222</v>
      </c>
      <c r="K57" s="21">
        <v>6.5</v>
      </c>
      <c r="L57" s="18"/>
    </row>
    <row r="58" spans="1:12" ht="14.25" customHeight="1">
      <c r="A58" s="12" cm="1">
        <f t="array" ref="A58">ROW()-6</f>
        <v>52</v>
      </c>
      <c r="B58" s="34">
        <v>2</v>
      </c>
      <c r="C58" s="20" t="s">
        <v>228</v>
      </c>
      <c r="D58" s="15" t="s">
        <v>229</v>
      </c>
      <c r="E58" s="20" t="s">
        <v>230</v>
      </c>
      <c r="F58" s="23"/>
      <c r="G58" s="20" t="s">
        <v>228</v>
      </c>
      <c r="H58" s="23"/>
      <c r="I58" s="20" t="s">
        <v>121</v>
      </c>
      <c r="J58" s="20" t="s">
        <v>231</v>
      </c>
      <c r="K58" s="21">
        <v>13</v>
      </c>
      <c r="L58" s="18"/>
    </row>
    <row r="59" spans="1:12" ht="14.25" customHeight="1">
      <c r="A59" s="12" cm="1">
        <f t="array" ref="A59">ROW()-6</f>
        <v>53</v>
      </c>
      <c r="B59" s="34">
        <v>1</v>
      </c>
      <c r="C59" s="20" t="s">
        <v>232</v>
      </c>
      <c r="D59" s="15" t="s">
        <v>233</v>
      </c>
      <c r="E59" s="20" t="s">
        <v>234</v>
      </c>
      <c r="F59" s="23"/>
      <c r="G59" s="20" t="s">
        <v>232</v>
      </c>
      <c r="H59" s="20" t="s">
        <v>209</v>
      </c>
      <c r="I59" s="20" t="s">
        <v>235</v>
      </c>
      <c r="J59" s="20" t="s">
        <v>236</v>
      </c>
      <c r="K59" s="21">
        <v>2.58</v>
      </c>
      <c r="L59" s="18"/>
    </row>
    <row r="60" spans="1:12" ht="14.25" customHeight="1">
      <c r="A60" s="12" cm="1">
        <f t="array" ref="A60">ROW()-6</f>
        <v>54</v>
      </c>
      <c r="B60" s="34">
        <v>1</v>
      </c>
      <c r="C60" s="20" t="s">
        <v>237</v>
      </c>
      <c r="D60" s="15" t="s">
        <v>238</v>
      </c>
      <c r="E60" s="20" t="s">
        <v>239</v>
      </c>
      <c r="F60" s="23"/>
      <c r="G60" s="20" t="s">
        <v>237</v>
      </c>
      <c r="H60" s="20" t="s">
        <v>240</v>
      </c>
      <c r="I60" s="20" t="s">
        <v>121</v>
      </c>
      <c r="J60" s="20" t="s">
        <v>241</v>
      </c>
      <c r="K60" s="21">
        <v>4</v>
      </c>
      <c r="L60" s="18"/>
    </row>
    <row r="61" spans="1:12" ht="14.25" customHeight="1">
      <c r="A61" s="12" cm="1">
        <f t="array" ref="A61">ROW()-6</f>
        <v>55</v>
      </c>
      <c r="B61" s="34">
        <v>1</v>
      </c>
      <c r="C61" s="20" t="s">
        <v>242</v>
      </c>
      <c r="D61" s="15" t="s">
        <v>243</v>
      </c>
      <c r="E61" s="20" t="s">
        <v>244</v>
      </c>
      <c r="F61" s="23" t="s">
        <v>339</v>
      </c>
      <c r="G61" s="20" t="s">
        <v>242</v>
      </c>
      <c r="H61" s="23"/>
      <c r="I61" s="20" t="s">
        <v>121</v>
      </c>
      <c r="J61" s="20" t="s">
        <v>245</v>
      </c>
      <c r="K61" s="21">
        <v>14.8</v>
      </c>
      <c r="L61" s="18"/>
    </row>
    <row r="63" spans="1:12" ht="14.25" customHeight="1">
      <c r="A63" s="12" cm="1">
        <f t="array" ref="A63">ROW()-6</f>
        <v>57</v>
      </c>
      <c r="B63" s="33">
        <v>2</v>
      </c>
      <c r="C63" s="20" t="s">
        <v>246</v>
      </c>
      <c r="D63" s="15" t="s">
        <v>247</v>
      </c>
      <c r="E63" s="20" t="s">
        <v>248</v>
      </c>
      <c r="F63" s="23"/>
      <c r="G63" s="20" t="s">
        <v>246</v>
      </c>
      <c r="H63" s="20" t="s">
        <v>249</v>
      </c>
      <c r="I63" s="20" t="s">
        <v>250</v>
      </c>
      <c r="J63" s="20" t="s">
        <v>251</v>
      </c>
      <c r="K63" s="21">
        <v>2.35</v>
      </c>
      <c r="L63" s="18"/>
    </row>
    <row r="64" spans="1:12" ht="14.25" customHeight="1">
      <c r="A64" s="12" cm="1">
        <f t="array" ref="A64">ROW()-6</f>
        <v>58</v>
      </c>
      <c r="B64" s="33">
        <v>2</v>
      </c>
      <c r="C64" s="20" t="s">
        <v>252</v>
      </c>
      <c r="D64" s="15" t="s">
        <v>253</v>
      </c>
      <c r="E64" s="20" t="s">
        <v>254</v>
      </c>
      <c r="F64" s="23"/>
      <c r="G64" s="20" t="s">
        <v>252</v>
      </c>
      <c r="H64" s="20" t="s">
        <v>255</v>
      </c>
      <c r="I64" s="20" t="s">
        <v>256</v>
      </c>
      <c r="J64" s="20" t="s">
        <v>9</v>
      </c>
      <c r="K64" s="22">
        <v>0</v>
      </c>
      <c r="L64" s="18"/>
    </row>
    <row r="65" spans="1:12" ht="14.25" customHeight="1">
      <c r="A65" s="12" cm="1">
        <f t="array" ref="A65">ROW()-6</f>
        <v>59</v>
      </c>
      <c r="B65" s="34">
        <v>2</v>
      </c>
      <c r="C65" s="20" t="s">
        <v>257</v>
      </c>
      <c r="D65" s="15" t="s">
        <v>258</v>
      </c>
      <c r="E65" s="20" t="s">
        <v>259</v>
      </c>
      <c r="F65" s="23"/>
      <c r="G65" s="20" t="s">
        <v>257</v>
      </c>
      <c r="H65" s="20" t="s">
        <v>260</v>
      </c>
      <c r="I65" s="20" t="s">
        <v>261</v>
      </c>
      <c r="J65" s="20" t="s">
        <v>262</v>
      </c>
      <c r="K65" s="21">
        <v>3.47</v>
      </c>
      <c r="L65" s="18"/>
    </row>
    <row r="66" spans="1:12" ht="14.25" customHeight="1">
      <c r="A66" s="12" cm="1">
        <f t="array" ref="A66">ROW()-6</f>
        <v>60</v>
      </c>
      <c r="B66" s="33">
        <v>1</v>
      </c>
      <c r="C66" s="20" t="s">
        <v>263</v>
      </c>
      <c r="D66" s="15" t="s">
        <v>264</v>
      </c>
      <c r="E66" s="20" t="s">
        <v>265</v>
      </c>
      <c r="F66" s="20" t="s">
        <v>266</v>
      </c>
      <c r="G66" s="20" t="s">
        <v>263</v>
      </c>
      <c r="H66" s="20" t="s">
        <v>267</v>
      </c>
      <c r="I66" s="20" t="s">
        <v>268</v>
      </c>
      <c r="J66" s="20" t="s">
        <v>269</v>
      </c>
      <c r="K66" s="21">
        <v>3.53</v>
      </c>
      <c r="L66" s="18"/>
    </row>
    <row r="67" spans="1:12" ht="14.25" customHeight="1">
      <c r="A67" s="12" cm="1">
        <f t="array" ref="A67">ROW()-6</f>
        <v>61</v>
      </c>
      <c r="B67" s="32">
        <v>1</v>
      </c>
      <c r="C67" s="20" t="s">
        <v>270</v>
      </c>
      <c r="D67" s="15" t="s">
        <v>271</v>
      </c>
      <c r="E67" s="20" t="s">
        <v>272</v>
      </c>
      <c r="F67" s="23"/>
      <c r="G67" s="20" t="s">
        <v>270</v>
      </c>
      <c r="H67" s="20" t="s">
        <v>267</v>
      </c>
      <c r="I67" s="20" t="s">
        <v>273</v>
      </c>
      <c r="J67" s="20" t="s">
        <v>9</v>
      </c>
      <c r="K67" s="22">
        <v>0</v>
      </c>
      <c r="L67" s="18"/>
    </row>
    <row r="68" spans="1:12" ht="14.25" customHeight="1">
      <c r="A68" s="12" cm="1">
        <f t="array" ref="A68">ROW()-6</f>
        <v>62</v>
      </c>
      <c r="B68" s="33">
        <v>3</v>
      </c>
      <c r="C68" s="20" t="s">
        <v>274</v>
      </c>
      <c r="D68" s="15" t="s">
        <v>275</v>
      </c>
      <c r="E68" s="20" t="s">
        <v>276</v>
      </c>
      <c r="F68" s="23"/>
      <c r="G68" s="20" t="s">
        <v>274</v>
      </c>
      <c r="H68" s="20" t="s">
        <v>277</v>
      </c>
      <c r="I68" s="20" t="s">
        <v>278</v>
      </c>
      <c r="J68" s="20" t="s">
        <v>279</v>
      </c>
      <c r="K68" s="21">
        <v>3.91</v>
      </c>
      <c r="L68" s="18"/>
    </row>
    <row r="69" spans="1:12" ht="14.25" customHeight="1">
      <c r="A69" s="12" cm="1">
        <f t="array" ref="A69">ROW()-6</f>
        <v>63</v>
      </c>
      <c r="B69" s="34">
        <v>1</v>
      </c>
      <c r="C69" s="20" t="s">
        <v>280</v>
      </c>
      <c r="D69" s="15" t="s">
        <v>281</v>
      </c>
      <c r="E69" s="20" t="s">
        <v>282</v>
      </c>
      <c r="F69" s="23"/>
      <c r="G69" s="20" t="s">
        <v>280</v>
      </c>
      <c r="H69" s="20" t="s">
        <v>321</v>
      </c>
      <c r="I69" s="20" t="s">
        <v>121</v>
      </c>
      <c r="J69" s="20" t="s">
        <v>283</v>
      </c>
      <c r="K69" s="21">
        <v>6.4</v>
      </c>
      <c r="L69" s="18"/>
    </row>
    <row r="70" spans="1:12" ht="14.25" customHeight="1">
      <c r="A70" s="12" cm="1">
        <f t="array" ref="A70">ROW()-6</f>
        <v>64</v>
      </c>
      <c r="B70" s="33">
        <v>5</v>
      </c>
      <c r="C70" s="20" t="s">
        <v>284</v>
      </c>
      <c r="D70" s="15" t="s">
        <v>338</v>
      </c>
      <c r="E70" s="20" t="s">
        <v>285</v>
      </c>
      <c r="F70" s="23"/>
      <c r="G70" s="13"/>
      <c r="H70" s="13" t="s">
        <v>322</v>
      </c>
      <c r="I70" s="20" t="s">
        <v>121</v>
      </c>
      <c r="J70" s="20" t="s">
        <v>9</v>
      </c>
      <c r="K70" s="22">
        <v>0</v>
      </c>
      <c r="L70" s="18"/>
    </row>
    <row r="71" spans="1:12" ht="14.25" customHeight="1">
      <c r="A71" s="12" cm="1">
        <f t="array" ref="A71">ROW()-6</f>
        <v>65</v>
      </c>
      <c r="B71" s="33">
        <v>1</v>
      </c>
      <c r="C71" s="20" t="s">
        <v>286</v>
      </c>
      <c r="D71" s="15" t="s">
        <v>287</v>
      </c>
      <c r="E71" s="20" t="s">
        <v>288</v>
      </c>
      <c r="F71" s="20" t="s">
        <v>289</v>
      </c>
      <c r="G71" s="20" t="s">
        <v>286</v>
      </c>
      <c r="H71" s="20" t="s">
        <v>290</v>
      </c>
      <c r="I71" s="20" t="s">
        <v>291</v>
      </c>
      <c r="J71" s="20" t="s">
        <v>292</v>
      </c>
      <c r="K71" s="21">
        <v>2.67</v>
      </c>
      <c r="L71" s="18"/>
    </row>
    <row r="72" spans="1:12" ht="14.25" customHeight="1">
      <c r="A72" s="12" cm="1">
        <f t="array" ref="A72">ROW()-6</f>
        <v>66</v>
      </c>
      <c r="B72" s="34">
        <v>1</v>
      </c>
      <c r="C72" s="20" t="s">
        <v>293</v>
      </c>
      <c r="D72" s="15" t="s">
        <v>294</v>
      </c>
      <c r="E72" s="20" t="s">
        <v>295</v>
      </c>
      <c r="F72" s="23"/>
      <c r="G72" s="20" t="s">
        <v>293</v>
      </c>
      <c r="H72" s="20" t="s">
        <v>296</v>
      </c>
      <c r="I72" s="20" t="s">
        <v>297</v>
      </c>
      <c r="J72" s="20" t="s">
        <v>298</v>
      </c>
      <c r="K72" s="21">
        <v>3.79</v>
      </c>
      <c r="L72" s="18"/>
    </row>
    <row r="73" spans="1:12" ht="14.25" customHeight="1">
      <c r="A73" s="12" cm="1">
        <f t="array" ref="A73">ROW()-6</f>
        <v>67</v>
      </c>
      <c r="B73" s="34">
        <v>1</v>
      </c>
      <c r="C73" s="13" t="s">
        <v>323</v>
      </c>
      <c r="D73" s="16" t="s">
        <v>299</v>
      </c>
      <c r="E73" s="23"/>
      <c r="F73" s="23"/>
      <c r="G73" s="23"/>
      <c r="H73" s="23"/>
      <c r="I73" s="23" t="s">
        <v>342</v>
      </c>
      <c r="J73" s="20" t="s">
        <v>300</v>
      </c>
      <c r="K73" s="21">
        <v>5.4</v>
      </c>
      <c r="L73" s="18"/>
    </row>
    <row r="74" spans="1:12" ht="14.25" customHeight="1">
      <c r="A74" s="12" cm="1">
        <f t="array" ref="A74">ROW()-6</f>
        <v>68</v>
      </c>
      <c r="B74" s="33">
        <v>1</v>
      </c>
      <c r="C74" s="13" t="s">
        <v>301</v>
      </c>
      <c r="D74" s="16" t="s">
        <v>324</v>
      </c>
      <c r="E74" s="23"/>
      <c r="F74" s="20" t="s">
        <v>346</v>
      </c>
      <c r="G74" s="23" t="s">
        <v>344</v>
      </c>
      <c r="H74" s="23"/>
      <c r="I74" s="23" t="s">
        <v>341</v>
      </c>
      <c r="J74" s="23" t="s">
        <v>345</v>
      </c>
      <c r="K74" s="21">
        <v>101.9</v>
      </c>
      <c r="L74" s="18"/>
    </row>
    <row r="75" spans="1:12" ht="14.25" customHeight="1">
      <c r="A75" s="24" cm="1">
        <f t="array" ref="A75">ROW()-6</f>
        <v>69</v>
      </c>
      <c r="B75" s="36">
        <v>1</v>
      </c>
      <c r="C75" s="25" t="s">
        <v>340</v>
      </c>
      <c r="D75" s="26"/>
      <c r="E75" s="27"/>
      <c r="F75" s="28"/>
      <c r="G75" s="27"/>
      <c r="H75" s="27"/>
      <c r="I75" s="29" t="s">
        <v>121</v>
      </c>
      <c r="J75" s="27" t="s">
        <v>343</v>
      </c>
      <c r="K75" s="30">
        <v>1.31</v>
      </c>
      <c r="L75" s="31"/>
    </row>
    <row r="76" spans="1:12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>
        <f>SUM(K7:K75)</f>
        <v>263.79000000000002</v>
      </c>
      <c r="L76" s="18"/>
    </row>
  </sheetData>
  <mergeCells count="3">
    <mergeCell ref="A1:D5"/>
    <mergeCell ref="E1:E2"/>
    <mergeCell ref="F1:L5"/>
  </mergeCells>
  <phoneticPr fontId="3" type="noConversion"/>
  <pageMargins left="0.7" right="0.7" top="0.75" bottom="0.75" header="0.3" footer="0.3"/>
  <pageSetup orientation="portrait"/>
  <headerFooter>
    <oddFooter>&amp;C&amp;"Helvetica Neue,Regular"&amp;11&amp;K000000&amp;P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/>
  </sheetViews>
  <sheetFormatPr defaultColWidth="9" defaultRowHeight="14.25" customHeight="1"/>
  <cols>
    <col min="1" max="1" width="23.6640625" style="2" customWidth="1"/>
    <col min="2" max="2" width="57.44140625" style="2" customWidth="1"/>
    <col min="3" max="6" width="9" style="2" customWidth="1"/>
    <col min="7" max="16384" width="9" style="2"/>
  </cols>
  <sheetData>
    <row r="1" spans="1:5" ht="15.9" customHeight="1">
      <c r="A1" s="1" t="s">
        <v>302</v>
      </c>
      <c r="B1" s="1" t="s">
        <v>303</v>
      </c>
      <c r="C1" s="3"/>
      <c r="D1" s="4"/>
      <c r="E1" s="4"/>
    </row>
    <row r="2" spans="1:5" ht="15.9" customHeight="1">
      <c r="A2" s="1" t="s">
        <v>304</v>
      </c>
      <c r="B2" s="1" t="s">
        <v>305</v>
      </c>
      <c r="C2" s="3"/>
      <c r="D2" s="4"/>
      <c r="E2" s="4"/>
    </row>
    <row r="3" spans="1:5" ht="15.9" customHeight="1">
      <c r="A3" s="1" t="s">
        <v>306</v>
      </c>
      <c r="B3" s="1" t="s">
        <v>305</v>
      </c>
      <c r="C3" s="3"/>
      <c r="D3" s="4"/>
      <c r="E3" s="4"/>
    </row>
    <row r="4" spans="1:5" ht="15.9" customHeight="1">
      <c r="A4" s="1" t="s">
        <v>307</v>
      </c>
      <c r="B4" s="1" t="s">
        <v>2</v>
      </c>
      <c r="C4" s="3"/>
      <c r="D4" s="4"/>
      <c r="E4" s="4"/>
    </row>
    <row r="5" spans="1:5" ht="15.9" customHeight="1">
      <c r="A5" s="1" t="s">
        <v>308</v>
      </c>
      <c r="B5" s="1" t="s">
        <v>2</v>
      </c>
      <c r="C5" s="3"/>
      <c r="D5" s="4"/>
      <c r="E5" s="4"/>
    </row>
    <row r="6" spans="1:5" ht="15.9" customHeight="1">
      <c r="A6" s="1" t="s">
        <v>309</v>
      </c>
      <c r="B6" s="5">
        <v>198</v>
      </c>
      <c r="C6" s="3"/>
      <c r="D6" s="4"/>
      <c r="E6" s="4"/>
    </row>
    <row r="7" spans="1:5" ht="15.9" customHeight="1">
      <c r="A7" s="1" t="s">
        <v>310</v>
      </c>
      <c r="B7" s="1" t="s">
        <v>311</v>
      </c>
      <c r="C7" s="3"/>
      <c r="D7" s="4"/>
      <c r="E7" s="4"/>
    </row>
    <row r="8" spans="1:5" ht="15.9" customHeight="1">
      <c r="A8" s="1" t="s">
        <v>312</v>
      </c>
      <c r="B8" s="1" t="s">
        <v>313</v>
      </c>
      <c r="C8" s="3"/>
      <c r="D8" s="4"/>
      <c r="E8" s="4"/>
    </row>
    <row r="9" spans="1:5" ht="15.9" customHeight="1">
      <c r="A9" s="1" t="s">
        <v>314</v>
      </c>
      <c r="B9" s="1" t="s">
        <v>315</v>
      </c>
      <c r="C9" s="3"/>
      <c r="D9" s="4"/>
      <c r="E9" s="4"/>
    </row>
    <row r="10" spans="1:5" ht="15.9" customHeight="1">
      <c r="A10" s="1" t="s">
        <v>316</v>
      </c>
      <c r="B10" s="1" t="s">
        <v>317</v>
      </c>
      <c r="C10" s="3"/>
      <c r="D10" s="4"/>
      <c r="E10" s="4"/>
    </row>
    <row r="11" spans="1:5" ht="15.9" customHeight="1">
      <c r="A11" s="1" t="s">
        <v>318</v>
      </c>
      <c r="B11" s="1" t="s">
        <v>319</v>
      </c>
      <c r="C11" s="3"/>
      <c r="D11" s="4"/>
      <c r="E11" s="4"/>
    </row>
  </sheetData>
  <phoneticPr fontId="3" type="noConversion"/>
  <pageMargins left="0.7" right="0.7" top="0.75" bottom="0.75" header="0.3" footer="0.3"/>
  <pageSetup orientation="portrait" r:id="rId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昌金 李</cp:lastModifiedBy>
  <dcterms:modified xsi:type="dcterms:W3CDTF">2025-08-16T16:22:29Z</dcterms:modified>
</cp:coreProperties>
</file>