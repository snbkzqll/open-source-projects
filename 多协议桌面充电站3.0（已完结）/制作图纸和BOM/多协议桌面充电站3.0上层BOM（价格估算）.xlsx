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Users\Desktop\复刻计划\多协议桌面充电站3.0\"/>
    </mc:Choice>
  </mc:AlternateContent>
  <xr:revisionPtr revIDLastSave="0" documentId="13_ncr:1_{D5B16903-B5BA-4E9F-B693-86CBCFDB9DD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多协议桌面充电站3.0上层BOM" sheetId="1" r:id="rId1"/>
  </sheets>
  <calcPr calcId="191029"/>
</workbook>
</file>

<file path=xl/calcChain.xml><?xml version="1.0" encoding="utf-8"?>
<calcChain xmlns="http://schemas.openxmlformats.org/spreadsheetml/2006/main">
  <c r="K40" i="1" l="1"/>
  <c r="A28" i="1" a="1"/>
  <c r="A28" i="1" s="1"/>
  <c r="A39" i="1" a="1"/>
  <c r="A39" i="1" s="1"/>
  <c r="A38" i="1" a="1"/>
  <c r="A38" i="1" s="1"/>
  <c r="A37" i="1" a="1"/>
  <c r="A37" i="1" s="1"/>
  <c r="A36" i="1" a="1"/>
  <c r="A36" i="1" s="1"/>
  <c r="A35" i="1" a="1"/>
  <c r="A35" i="1" s="1"/>
  <c r="A34" i="1" a="1"/>
  <c r="A34" i="1" s="1"/>
  <c r="A27" i="1" a="1"/>
  <c r="A27" i="1" s="1"/>
  <c r="A22" i="1" a="1"/>
  <c r="A22" i="1" s="1"/>
  <c r="A32" i="1" a="1"/>
  <c r="A32" i="1" s="1"/>
  <c r="A31" i="1" a="1"/>
  <c r="A31" i="1" s="1"/>
  <c r="A30" i="1" a="1"/>
  <c r="A30" i="1" s="1"/>
  <c r="A26" i="1" a="1"/>
  <c r="A26" i="1" s="1"/>
  <c r="A25" i="1" a="1"/>
  <c r="A25" i="1" s="1"/>
  <c r="A7" i="1" a="1"/>
  <c r="A7" i="1" s="1"/>
  <c r="A24" i="1" a="1"/>
  <c r="A24" i="1" s="1"/>
  <c r="A18" i="1" a="1"/>
  <c r="A18" i="1" s="1"/>
  <c r="A17" i="1" a="1"/>
  <c r="A17" i="1" s="1"/>
  <c r="A16" i="1" a="1"/>
  <c r="A16" i="1" s="1"/>
  <c r="A15" i="1" a="1"/>
  <c r="A15" i="1" s="1"/>
  <c r="A14" i="1" a="1"/>
  <c r="A14" i="1" s="1"/>
  <c r="A13" i="1" a="1"/>
  <c r="A13" i="1" s="1"/>
  <c r="A11" i="1" a="1"/>
  <c r="A11" i="1" s="1"/>
  <c r="A10" i="1" a="1"/>
  <c r="A10" i="1" s="1"/>
  <c r="A9" i="1" a="1"/>
  <c r="A9" i="1" s="1"/>
  <c r="A8" i="1" a="1"/>
  <c r="A8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<sst xmlns="http://schemas.openxmlformats.org/spreadsheetml/2006/main" count="216" uniqueCount="172">
  <si>
    <t>Project Title：多协议桌面充电站3.0</t>
  </si>
  <si>
    <t xml:space="preserve"> </t>
  </si>
  <si>
    <t>No.</t>
  </si>
  <si>
    <t>AP75N03NF</t>
  </si>
  <si>
    <t>Q1, Q4, Q6, Q7</t>
  </si>
  <si>
    <t>PDFN-8_L5.8-W4.9-P1.27-LS6.1-BL</t>
  </si>
  <si>
    <t>APM</t>
  </si>
  <si>
    <t>淘宝</t>
  </si>
  <si>
    <t>2.4(4)</t>
  </si>
  <si>
    <t>10kΩ</t>
  </si>
  <si>
    <t>R8, R16, R17, R18, R12</t>
  </si>
  <si>
    <t>R0603</t>
  </si>
  <si>
    <t>0603WAF1002T5E</t>
  </si>
  <si>
    <t>UNI-ROYAL(厚声)</t>
  </si>
  <si>
    <t>C25804</t>
  </si>
  <si>
    <t>0.63(100)</t>
  </si>
  <si>
    <t>100kΩ</t>
  </si>
  <si>
    <t>R6</t>
  </si>
  <si>
    <t>0603WAF1003T5E</t>
  </si>
  <si>
    <t>C25803</t>
  </si>
  <si>
    <t>0.26(50)</t>
  </si>
  <si>
    <t>1kΩ</t>
  </si>
  <si>
    <t>R7, R11, R19</t>
  </si>
  <si>
    <t>0603WAF1001T5E</t>
  </si>
  <si>
    <t>C21190</t>
  </si>
  <si>
    <t>0.65(100)</t>
  </si>
  <si>
    <t>2Ω</t>
  </si>
  <si>
    <t>R1, R20</t>
  </si>
  <si>
    <t>0603WAF200KT5E</t>
  </si>
  <si>
    <t>C22977</t>
  </si>
  <si>
    <t>1(100)</t>
  </si>
  <si>
    <t>100nF</t>
  </si>
  <si>
    <t>C0603</t>
  </si>
  <si>
    <t>CC0603KRX7R9BB104</t>
  </si>
  <si>
    <t>YAGEO(国巨)</t>
  </si>
  <si>
    <t>C14663</t>
  </si>
  <si>
    <t>1.56(100)</t>
  </si>
  <si>
    <t>1nF</t>
  </si>
  <si>
    <t>C1, C41</t>
  </si>
  <si>
    <t>CL10B102KB8NNNC</t>
  </si>
  <si>
    <t>SAMSUNG(三星)</t>
  </si>
  <si>
    <t>C1588</t>
  </si>
  <si>
    <t>1.93(100)</t>
  </si>
  <si>
    <t>1uF</t>
  </si>
  <si>
    <t>C35, C37</t>
  </si>
  <si>
    <t>CL10A105KB8NNNC</t>
  </si>
  <si>
    <t>C15849</t>
  </si>
  <si>
    <t>1.68(50)</t>
  </si>
  <si>
    <t>10uF</t>
  </si>
  <si>
    <t>C2, C3, C42, C43</t>
  </si>
  <si>
    <t>C1206</t>
  </si>
  <si>
    <t>CL31A106KBHNNNE</t>
  </si>
  <si>
    <t>C13585</t>
  </si>
  <si>
    <t>2.24(10)</t>
  </si>
  <si>
    <t>C5, C6, C14, C15, C17, C45, C46, C48, C50, C57</t>
  </si>
  <si>
    <t>CL31A226KAHNNNE</t>
  </si>
  <si>
    <t>C12891</t>
  </si>
  <si>
    <t>6.99(20)</t>
  </si>
  <si>
    <t>100uF</t>
  </si>
  <si>
    <t>C19, C20, C21, C22, C52, C53, C54, C55</t>
  </si>
  <si>
    <t>4.2(15)</t>
  </si>
  <si>
    <t>U2, U10</t>
  </si>
  <si>
    <t>耐压35V及以上</t>
  </si>
  <si>
    <t>6.9(15)</t>
  </si>
  <si>
    <t>220uF</t>
  </si>
  <si>
    <t>C4, C44</t>
  </si>
  <si>
    <t>CAP-SMD_BD8.0-L8.3-W8.3-LS8.9-FD</t>
  </si>
  <si>
    <t>10.35(15)</t>
  </si>
  <si>
    <t>ZMM3V3</t>
  </si>
  <si>
    <t>D3</t>
  </si>
  <si>
    <t>LL-34_L3.5-W1.5-LS3.5-FD</t>
  </si>
  <si>
    <t>萨科微(Slkor)</t>
  </si>
  <si>
    <t>C707189</t>
  </si>
  <si>
    <t>3.03(50)</t>
  </si>
  <si>
    <t>2N7002</t>
  </si>
  <si>
    <t>Q5</t>
  </si>
  <si>
    <t>SOT-23-3_L2.9-W1.3-P1.90-LS2.4-BR</t>
  </si>
  <si>
    <t>CJ(江苏长电/长晶)</t>
  </si>
  <si>
    <t>C8545</t>
  </si>
  <si>
    <t>4.71(50</t>
  </si>
  <si>
    <t>DTC143ZCA</t>
  </si>
  <si>
    <t>Q3</t>
  </si>
  <si>
    <t>C15236</t>
  </si>
  <si>
    <t>2.34(20)</t>
  </si>
  <si>
    <t>ME6212C33M5G</t>
  </si>
  <si>
    <t>U3</t>
  </si>
  <si>
    <t>SOT-23-5_L3.0-W1.7-P0.95-LS2.8-BL</t>
  </si>
  <si>
    <t>MICRONE(南京微盟)</t>
  </si>
  <si>
    <t>C81233</t>
  </si>
  <si>
    <t>2.36(10)</t>
  </si>
  <si>
    <t>10mΩ</t>
  </si>
  <si>
    <t>R2, R10, R21, R22</t>
  </si>
  <si>
    <t>RES-SMD_L6.4-W3.2-R2512</t>
  </si>
  <si>
    <t>FMF25JPKR010-LH</t>
  </si>
  <si>
    <t>PSA(信昌电陶)</t>
  </si>
  <si>
    <t>C5144767</t>
  </si>
  <si>
    <t>3.15(10)</t>
  </si>
  <si>
    <t>LMV321-TR</t>
  </si>
  <si>
    <t>U8, U9</t>
  </si>
  <si>
    <t>SOT-23-5_L3.0-W1.7-P0.95-LS2.8-BR</t>
  </si>
  <si>
    <t>Gainsil(聚洵)</t>
  </si>
  <si>
    <t>C362273</t>
  </si>
  <si>
    <t>10(4.17)</t>
  </si>
  <si>
    <t>ZX-XH2.54-2PLT</t>
  </si>
  <si>
    <t>U29</t>
  </si>
  <si>
    <t>CONN-SMD_2P-P2.50_HCTL_HC-XH-2ALT</t>
  </si>
  <si>
    <t>Megastar(兆星)</t>
  </si>
  <si>
    <t>C7429680</t>
  </si>
  <si>
    <t>1.89(5)</t>
  </si>
  <si>
    <t>AFA07-S12FCA-00</t>
  </si>
  <si>
    <t>FPC1</t>
  </si>
  <si>
    <t>FPC-SMD_P1.00-12P_LCS-XJ-H2.5</t>
  </si>
  <si>
    <t>JS(钜硕电子)</t>
  </si>
  <si>
    <t>C262718</t>
  </si>
  <si>
    <t>3.73(5)</t>
  </si>
  <si>
    <t>NCE30P30K</t>
  </si>
  <si>
    <t>Q2</t>
  </si>
  <si>
    <t>TO-252-2_L6.6-W6.1-P4.57-LS9.9-TL-CW</t>
  </si>
  <si>
    <t>NCE(无锡新洁能)</t>
  </si>
  <si>
    <t>C130106</t>
  </si>
  <si>
    <t>6.83(5)</t>
  </si>
  <si>
    <t>919-152A1072D10400</t>
  </si>
  <si>
    <t>USB1, USB3</t>
  </si>
  <si>
    <t>USB-A-TH_919-152A1072D10400</t>
  </si>
  <si>
    <t>2.8(10)</t>
  </si>
  <si>
    <t>10uH</t>
  </si>
  <si>
    <t>L1, L2</t>
  </si>
  <si>
    <t>IND-SMD_L11.5-W10.0_FXL1040</t>
  </si>
  <si>
    <t>FXL1040-100-M</t>
  </si>
  <si>
    <t>cjiang(长江微电)</t>
  </si>
  <si>
    <t>C475915</t>
  </si>
  <si>
    <t>6.43(5)</t>
  </si>
  <si>
    <t>U262-161N-4BVC11</t>
  </si>
  <si>
    <t>USB2, USB4</t>
  </si>
  <si>
    <t>USB-3.1-SMD_U262-161N-4BVC11</t>
  </si>
  <si>
    <t>汉德电子连接器</t>
  </si>
  <si>
    <t>6.7(10)</t>
  </si>
  <si>
    <t>IP6538-AC</t>
  </si>
  <si>
    <t>U4, U11</t>
  </si>
  <si>
    <t>QFN-32_L5.0-W5.0-P0.50-TL-EP3.4</t>
  </si>
  <si>
    <t>INJOINIC(英集芯)</t>
  </si>
  <si>
    <t>C669696</t>
  </si>
  <si>
    <t>8(2)</t>
  </si>
  <si>
    <t xml:space="preserve">FPC 排线 </t>
  </si>
  <si>
    <t>12PIN 1.0MM 6CM 同向</t>
  </si>
  <si>
    <t>0.9(5)</t>
  </si>
  <si>
    <t>C7, C8, C10, C12, C16, C18, C36, C38, C39, C40, C47, C49, C51, C56</t>
    <phoneticPr fontId="1" type="noConversion"/>
  </si>
  <si>
    <t>耐压35V及以上</t>
    <phoneticPr fontId="1" type="noConversion"/>
  </si>
  <si>
    <t>100uF - 固态电容</t>
    <phoneticPr fontId="1" type="noConversion"/>
  </si>
  <si>
    <t>220uF - 固态电容</t>
    <phoneticPr fontId="1" type="noConversion"/>
  </si>
  <si>
    <t>前脚卧插</t>
    <phoneticPr fontId="1" type="noConversion"/>
  </si>
  <si>
    <t>多协议桌面充电站3.0上层BOM</t>
    <phoneticPr fontId="1" type="noConversion"/>
  </si>
  <si>
    <t>Update Time: 2025.4.28</t>
    <phoneticPr fontId="1" type="noConversion"/>
  </si>
  <si>
    <t>4007风扇 - 5V输入</t>
    <phoneticPr fontId="1" type="noConversion"/>
  </si>
  <si>
    <t>4(1)</t>
    <phoneticPr fontId="1" type="noConversion"/>
  </si>
  <si>
    <t>总价</t>
    <phoneticPr fontId="1" type="noConversion"/>
  </si>
  <si>
    <t>供应商</t>
    <phoneticPr fontId="1" type="noConversion"/>
  </si>
  <si>
    <t>总价（数量）</t>
    <phoneticPr fontId="1" type="noConversion"/>
  </si>
  <si>
    <t>Check</t>
    <phoneticPr fontId="1" type="noConversion"/>
  </si>
  <si>
    <t>数量</t>
    <phoneticPr fontId="1" type="noConversion"/>
  </si>
  <si>
    <t>名称</t>
    <phoneticPr fontId="1" type="noConversion"/>
  </si>
  <si>
    <t>位号</t>
    <phoneticPr fontId="1" type="noConversion"/>
  </si>
  <si>
    <t>封装</t>
    <phoneticPr fontId="1" type="noConversion"/>
  </si>
  <si>
    <t>料号或注释</t>
    <phoneticPr fontId="1" type="noConversion"/>
  </si>
  <si>
    <t>厂商</t>
    <phoneticPr fontId="1" type="noConversion"/>
  </si>
  <si>
    <t>如下层电容过高会冲突</t>
    <phoneticPr fontId="1" type="noConversion"/>
  </si>
  <si>
    <t>数值或注释</t>
    <phoneticPr fontId="1" type="noConversion"/>
  </si>
  <si>
    <t>10uF - 耐压35V及以上</t>
    <phoneticPr fontId="1" type="noConversion"/>
  </si>
  <si>
    <t>22uF - 耐压25V及以上</t>
    <phoneticPr fontId="1" type="noConversion"/>
  </si>
  <si>
    <t>100uF - MLCC</t>
    <phoneticPr fontId="1" type="noConversion"/>
  </si>
  <si>
    <t>22uF</t>
    <phoneticPr fontId="1" type="noConversion"/>
  </si>
  <si>
    <t>CAP-SMD_BD6.3-L6.6-W6.6-LS7.3-FD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</si>
</sst>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Calibri"/>
    </font>
    <font>
      <sz val="9"/>
      <name val="宋体"/>
      <family val="3"/>
      <charset val="134"/>
    </font>
    <font>
      <sz val="11"/>
      <color indexed="8"/>
      <name val="等距更纱黑体 SC SemiBold"/>
      <family val="3"/>
      <charset val="134"/>
    </font>
    <font>
      <sz val="10"/>
      <color indexed="8"/>
      <name val="等距更纱黑体 SC SemiBold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NumberFormat="0" applyFill="0" applyBorder="0" applyProtection="0"/>
  </cellStyleXfs>
  <cellXfs count="35">
    <xf numFmtId="0" fontId="0" fillId="0" borderId="0" xfId="0"/>
    <xf numFmtId="0" fontId="2" fillId="0" borderId="0" xfId="0" applyNumberFormat="1" applyFont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3" xfId="0" applyNumberFormat="1" applyFont="1" applyBorder="1"/>
    <xf numFmtId="49" fontId="2" fillId="3" borderId="3" xfId="0" applyNumberFormat="1" applyFont="1" applyFill="1" applyBorder="1"/>
    <xf numFmtId="0" fontId="2" fillId="3" borderId="3" xfId="0" applyFont="1" applyFill="1" applyBorder="1"/>
    <xf numFmtId="0" fontId="2" fillId="2" borderId="3" xfId="0" applyNumberFormat="1" applyFont="1" applyFill="1" applyBorder="1" applyAlignment="1">
      <alignment horizontal="left" vertical="center"/>
    </xf>
    <xf numFmtId="49" fontId="3" fillId="4" borderId="3" xfId="0" applyNumberFormat="1" applyFont="1" applyFill="1" applyBorder="1" applyAlignment="1">
      <alignment horizontal="left" readingOrder="1"/>
    </xf>
    <xf numFmtId="49" fontId="2" fillId="4" borderId="3" xfId="0" applyNumberFormat="1" applyFont="1" applyFill="1" applyBorder="1" applyAlignment="1">
      <alignment wrapText="1"/>
    </xf>
    <xf numFmtId="49" fontId="2" fillId="3" borderId="3" xfId="0" applyNumberFormat="1" applyFont="1" applyFill="1" applyBorder="1" applyAlignment="1">
      <alignment wrapText="1"/>
    </xf>
    <xf numFmtId="0" fontId="2" fillId="4" borderId="3" xfId="0" applyFont="1" applyFill="1" applyBorder="1" applyAlignment="1">
      <alignment wrapText="1"/>
    </xf>
    <xf numFmtId="0" fontId="2" fillId="0" borderId="6" xfId="0" applyNumberFormat="1" applyFont="1" applyBorder="1"/>
    <xf numFmtId="0" fontId="2" fillId="3" borderId="4" xfId="0" applyFont="1" applyFill="1" applyBorder="1"/>
    <xf numFmtId="0" fontId="2" fillId="3" borderId="6" xfId="0" applyFont="1" applyFill="1" applyBorder="1"/>
    <xf numFmtId="49" fontId="2" fillId="4" borderId="3" xfId="0" applyNumberFormat="1" applyFont="1" applyFill="1" applyBorder="1"/>
    <xf numFmtId="0" fontId="2" fillId="4" borderId="4" xfId="0" applyNumberFormat="1" applyFont="1" applyFill="1" applyBorder="1"/>
    <xf numFmtId="0" fontId="2" fillId="4" borderId="3" xfId="0" applyFont="1" applyFill="1" applyBorder="1"/>
    <xf numFmtId="0" fontId="2" fillId="2" borderId="7" xfId="0" applyNumberFormat="1" applyFont="1" applyFill="1" applyBorder="1" applyAlignment="1">
      <alignment horizontal="left" vertical="center"/>
    </xf>
    <xf numFmtId="49" fontId="3" fillId="4" borderId="7" xfId="0" applyNumberFormat="1" applyFont="1" applyFill="1" applyBorder="1" applyAlignment="1">
      <alignment horizontal="left" readingOrder="1"/>
    </xf>
    <xf numFmtId="0" fontId="2" fillId="4" borderId="7" xfId="0" applyFont="1" applyFill="1" applyBorder="1" applyAlignment="1">
      <alignment wrapText="1"/>
    </xf>
    <xf numFmtId="0" fontId="2" fillId="4" borderId="7" xfId="0" applyFont="1" applyFill="1" applyBorder="1"/>
    <xf numFmtId="49" fontId="2" fillId="4" borderId="7" xfId="0" applyNumberFormat="1" applyFont="1" applyFill="1" applyBorder="1"/>
    <xf numFmtId="0" fontId="2" fillId="4" borderId="8" xfId="0" applyNumberFormat="1" applyFont="1" applyFill="1" applyBorder="1"/>
    <xf numFmtId="0" fontId="2" fillId="0" borderId="9" xfId="0" applyNumberFormat="1" applyFont="1" applyBorder="1"/>
    <xf numFmtId="0" fontId="2" fillId="5" borderId="3" xfId="0" applyNumberFormat="1" applyFont="1" applyFill="1" applyBorder="1"/>
    <xf numFmtId="0" fontId="2" fillId="6" borderId="3" xfId="0" applyNumberFormat="1" applyFont="1" applyFill="1" applyBorder="1"/>
    <xf numFmtId="0" fontId="2" fillId="7" borderId="3" xfId="0" applyNumberFormat="1" applyFont="1" applyFill="1" applyBorder="1"/>
    <xf numFmtId="0" fontId="2" fillId="7" borderId="7" xfId="0" applyNumberFormat="1" applyFont="1" applyFill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/>
    </xf>
    <xf numFmtId="49" fontId="2" fillId="0" borderId="0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EEECE1"/>
      <rgbColor rgb="FFDAEEF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121347</xdr:colOff>
      <xdr:row>0</xdr:row>
      <xdr:rowOff>110638</xdr:rowOff>
    </xdr:from>
    <xdr:to>
      <xdr:col>0</xdr:col>
      <xdr:colOff>811124</xdr:colOff>
      <xdr:row>4</xdr:row>
      <xdr:rowOff>76515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347" y="110638"/>
          <a:ext cx="689777" cy="69324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oneCellAnchor>
    <xdr:from>
      <xdr:col>0</xdr:col>
      <xdr:colOff>838200</xdr:colOff>
      <xdr:row>0</xdr:row>
      <xdr:rowOff>9525</xdr:rowOff>
    </xdr:from>
    <xdr:ext cx="3298337" cy="925892"/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38200" y="9525"/>
          <a:ext cx="3298337" cy="925892"/>
        </a:xfrm>
        <a:prstGeom prst="rect">
          <a:avLst/>
        </a:prstGeom>
        <a:noFill/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none" lIns="45719" tIns="45719" rIns="45719" bIns="45719" numCol="1" spcCol="38100" rtlCol="0" anchor="t">
          <a:sp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zh-CN" altLang="en-US" sz="2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等距更纱黑体 SC SemiBold" panose="02000709000000000000" pitchFamily="49" charset="-122"/>
              <a:ea typeface="等距更纱黑体 SC SemiBold" panose="02000709000000000000" pitchFamily="49" charset="-122"/>
              <a:cs typeface="等距更纱黑体 SC SemiBold" panose="02000709000000000000" pitchFamily="49" charset="-122"/>
              <a:sym typeface="Calibri"/>
            </a:rPr>
            <a:t>多协议桌面充电站 </a:t>
          </a:r>
          <a:r>
            <a:rPr kumimoji="0" lang="en-US" altLang="zh-CN" sz="2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等距更纱黑体 SC SemiBold" panose="02000709000000000000" pitchFamily="49" charset="-122"/>
              <a:ea typeface="等距更纱黑体 SC SemiBold" panose="02000709000000000000" pitchFamily="49" charset="-122"/>
              <a:cs typeface="等距更纱黑体 SC SemiBold" panose="02000709000000000000" pitchFamily="49" charset="-122"/>
              <a:sym typeface="Calibri"/>
            </a:rPr>
            <a:t>- VER3.0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US" altLang="zh-CN" sz="2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等距更纱黑体 SC SemiBold" panose="02000709000000000000" pitchFamily="49" charset="-122"/>
              <a:ea typeface="等距更纱黑体 SC SemiBold" panose="02000709000000000000" pitchFamily="49" charset="-122"/>
              <a:cs typeface="等距更纱黑体 SC SemiBold" panose="02000709000000000000" pitchFamily="49" charset="-122"/>
              <a:sym typeface="Calibri"/>
            </a:rPr>
            <a:t>Copyright © 2025 iKalyes</a:t>
          </a:r>
          <a:endParaRPr kumimoji="0" lang="zh-CN" altLang="en-US" sz="20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等距更纱黑体 SC SemiBold" panose="02000709000000000000" pitchFamily="49" charset="-122"/>
            <a:ea typeface="等距更纱黑体 SC SemiBold" panose="02000709000000000000" pitchFamily="49" charset="-122"/>
            <a:cs typeface="等距更纱黑体 SC SemiBold" panose="02000709000000000000" pitchFamily="49" charset="-122"/>
            <a:sym typeface="Calibri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showGridLines="0" tabSelected="1" topLeftCell="A10" zoomScaleNormal="100" workbookViewId="0">
      <selection activeCell="B9" sqref="B9"/>
    </sheetView>
  </sheetViews>
  <sheetFormatPr defaultColWidth="9" defaultRowHeight="14.25" customHeight="1"/>
  <cols>
    <col min="1" max="1" width="16.33203125" style="1" customWidth="1"/>
    <col min="2" max="2" width="17.109375" style="1" customWidth="1"/>
    <col min="3" max="3" width="22.33203125" style="1" customWidth="1"/>
    <col min="4" max="4" width="28.44140625" style="1" customWidth="1"/>
    <col min="5" max="5" width="42.33203125" style="1" customWidth="1"/>
    <col min="6" max="6" width="23.109375" style="1" customWidth="1"/>
    <col min="7" max="7" width="22.109375" style="1" customWidth="1"/>
    <col min="8" max="8" width="25.6640625" style="1" customWidth="1"/>
    <col min="9" max="11" width="13.33203125" style="1" customWidth="1"/>
    <col min="12" max="12" width="9" style="1" customWidth="1"/>
    <col min="13" max="16384" width="9" style="1"/>
  </cols>
  <sheetData>
    <row r="1" spans="1:12" ht="14.25" customHeight="1">
      <c r="A1" s="29"/>
      <c r="B1" s="29"/>
      <c r="C1" s="29"/>
      <c r="D1" s="29"/>
      <c r="E1" s="31" t="s">
        <v>151</v>
      </c>
      <c r="F1" s="33" t="s">
        <v>1</v>
      </c>
      <c r="G1" s="34"/>
      <c r="H1" s="34"/>
      <c r="I1" s="34"/>
      <c r="J1" s="34"/>
      <c r="K1" s="34"/>
      <c r="L1" s="34"/>
    </row>
    <row r="2" spans="1:12" ht="14.25" customHeight="1">
      <c r="A2" s="29"/>
      <c r="B2" s="29"/>
      <c r="C2" s="29"/>
      <c r="D2" s="29"/>
      <c r="E2" s="32"/>
      <c r="F2" s="33"/>
      <c r="G2" s="34"/>
      <c r="H2" s="34"/>
      <c r="I2" s="34"/>
      <c r="J2" s="34"/>
      <c r="K2" s="34"/>
      <c r="L2" s="34"/>
    </row>
    <row r="3" spans="1:12" ht="14.25" customHeight="1">
      <c r="A3" s="29"/>
      <c r="B3" s="29"/>
      <c r="C3" s="29"/>
      <c r="D3" s="29"/>
      <c r="E3" s="2" t="s">
        <v>0</v>
      </c>
      <c r="F3" s="33"/>
      <c r="G3" s="34"/>
      <c r="H3" s="34"/>
      <c r="I3" s="34"/>
      <c r="J3" s="34"/>
      <c r="K3" s="34"/>
      <c r="L3" s="34"/>
    </row>
    <row r="4" spans="1:12" ht="14.25" customHeight="1">
      <c r="A4" s="29"/>
      <c r="B4" s="29"/>
      <c r="C4" s="29"/>
      <c r="D4" s="29"/>
      <c r="E4" s="2" t="s">
        <v>152</v>
      </c>
      <c r="F4" s="33"/>
      <c r="G4" s="34"/>
      <c r="H4" s="34"/>
      <c r="I4" s="34"/>
      <c r="J4" s="34"/>
      <c r="K4" s="34"/>
      <c r="L4" s="34"/>
    </row>
    <row r="5" spans="1:12" ht="14.25" customHeight="1">
      <c r="A5" s="30"/>
      <c r="B5" s="30"/>
      <c r="C5" s="30"/>
      <c r="D5" s="30"/>
      <c r="E5" s="3"/>
      <c r="F5" s="33"/>
      <c r="G5" s="34"/>
      <c r="H5" s="34"/>
      <c r="I5" s="34"/>
      <c r="J5" s="34"/>
      <c r="K5" s="34"/>
      <c r="L5" s="34"/>
    </row>
    <row r="6" spans="1:12" ht="14.25" customHeight="1">
      <c r="A6" s="4" t="s">
        <v>2</v>
      </c>
      <c r="B6" s="5" t="s">
        <v>159</v>
      </c>
      <c r="C6" s="5" t="s">
        <v>160</v>
      </c>
      <c r="D6" s="10" t="s">
        <v>161</v>
      </c>
      <c r="E6" s="5" t="s">
        <v>162</v>
      </c>
      <c r="F6" s="5" t="s">
        <v>166</v>
      </c>
      <c r="G6" s="5" t="s">
        <v>163</v>
      </c>
      <c r="H6" s="5" t="s">
        <v>164</v>
      </c>
      <c r="I6" s="5" t="s">
        <v>156</v>
      </c>
      <c r="J6" s="6" t="s">
        <v>157</v>
      </c>
      <c r="K6" s="13" t="s">
        <v>155</v>
      </c>
      <c r="L6" s="14" t="s">
        <v>158</v>
      </c>
    </row>
    <row r="7" spans="1:12" ht="14.25" customHeight="1">
      <c r="A7" s="7" cm="1">
        <f t="array" ref="A7">ROW()-6</f>
        <v>1</v>
      </c>
      <c r="B7" s="27">
        <v>4</v>
      </c>
      <c r="C7" s="15" t="s">
        <v>90</v>
      </c>
      <c r="D7" s="9" t="s">
        <v>91</v>
      </c>
      <c r="E7" s="15" t="s">
        <v>92</v>
      </c>
      <c r="F7" s="15" t="s">
        <v>90</v>
      </c>
      <c r="G7" s="15" t="s">
        <v>93</v>
      </c>
      <c r="H7" s="15" t="s">
        <v>94</v>
      </c>
      <c r="I7" s="15" t="s">
        <v>95</v>
      </c>
      <c r="J7" s="15" t="s">
        <v>96</v>
      </c>
      <c r="K7" s="16">
        <v>3.15</v>
      </c>
      <c r="L7" s="12"/>
    </row>
    <row r="8" spans="1:12" ht="14.25" customHeight="1">
      <c r="A8" s="7" cm="1">
        <f t="array" ref="A8">ROW()-6</f>
        <v>2</v>
      </c>
      <c r="B8" s="25">
        <v>2</v>
      </c>
      <c r="C8" s="15" t="s">
        <v>26</v>
      </c>
      <c r="D8" s="9" t="s">
        <v>27</v>
      </c>
      <c r="E8" s="15" t="s">
        <v>11</v>
      </c>
      <c r="F8" s="15" t="s">
        <v>26</v>
      </c>
      <c r="G8" s="15" t="s">
        <v>28</v>
      </c>
      <c r="H8" s="15" t="s">
        <v>13</v>
      </c>
      <c r="I8" s="15" t="s">
        <v>29</v>
      </c>
      <c r="J8" s="15" t="s">
        <v>30</v>
      </c>
      <c r="K8" s="16">
        <v>1</v>
      </c>
      <c r="L8" s="12"/>
    </row>
    <row r="9" spans="1:12" ht="14.25" customHeight="1">
      <c r="A9" s="7" cm="1">
        <f t="array" ref="A9">ROW()-6</f>
        <v>3</v>
      </c>
      <c r="B9" s="25">
        <v>3</v>
      </c>
      <c r="C9" s="15" t="s">
        <v>21</v>
      </c>
      <c r="D9" s="9" t="s">
        <v>22</v>
      </c>
      <c r="E9" s="15" t="s">
        <v>11</v>
      </c>
      <c r="F9" s="15" t="s">
        <v>21</v>
      </c>
      <c r="G9" s="15" t="s">
        <v>23</v>
      </c>
      <c r="H9" s="15" t="s">
        <v>13</v>
      </c>
      <c r="I9" s="15" t="s">
        <v>24</v>
      </c>
      <c r="J9" s="15" t="s">
        <v>25</v>
      </c>
      <c r="K9" s="16">
        <v>0.65</v>
      </c>
      <c r="L9" s="12"/>
    </row>
    <row r="10" spans="1:12" ht="14.25" customHeight="1">
      <c r="A10" s="7" cm="1">
        <f t="array" ref="A10">ROW()-6</f>
        <v>4</v>
      </c>
      <c r="B10" s="25">
        <v>4</v>
      </c>
      <c r="C10" s="15" t="s">
        <v>9</v>
      </c>
      <c r="D10" s="9" t="s">
        <v>10</v>
      </c>
      <c r="E10" s="15" t="s">
        <v>11</v>
      </c>
      <c r="F10" s="15" t="s">
        <v>9</v>
      </c>
      <c r="G10" s="15" t="s">
        <v>12</v>
      </c>
      <c r="H10" s="15" t="s">
        <v>13</v>
      </c>
      <c r="I10" s="15" t="s">
        <v>14</v>
      </c>
      <c r="J10" s="15" t="s">
        <v>15</v>
      </c>
      <c r="K10" s="16">
        <v>0.63</v>
      </c>
      <c r="L10" s="12"/>
    </row>
    <row r="11" spans="1:12" ht="14.25" customHeight="1">
      <c r="A11" s="7" cm="1">
        <f t="array" ref="A11">ROW()-6</f>
        <v>5</v>
      </c>
      <c r="B11" s="25">
        <v>1</v>
      </c>
      <c r="C11" s="15" t="s">
        <v>16</v>
      </c>
      <c r="D11" s="9" t="s">
        <v>17</v>
      </c>
      <c r="E11" s="15" t="s">
        <v>11</v>
      </c>
      <c r="F11" s="15" t="s">
        <v>16</v>
      </c>
      <c r="G11" s="15" t="s">
        <v>18</v>
      </c>
      <c r="H11" s="15" t="s">
        <v>13</v>
      </c>
      <c r="I11" s="15" t="s">
        <v>19</v>
      </c>
      <c r="J11" s="15" t="s">
        <v>20</v>
      </c>
      <c r="K11" s="16">
        <v>0.26</v>
      </c>
      <c r="L11" s="12"/>
    </row>
    <row r="13" spans="1:12" ht="14.25" customHeight="1">
      <c r="A13" s="7" cm="1">
        <f t="array" ref="A13">ROW()-6</f>
        <v>7</v>
      </c>
      <c r="B13" s="26">
        <v>2</v>
      </c>
      <c r="C13" s="15" t="s">
        <v>37</v>
      </c>
      <c r="D13" s="9" t="s">
        <v>38</v>
      </c>
      <c r="E13" s="15" t="s">
        <v>32</v>
      </c>
      <c r="F13" s="15" t="s">
        <v>37</v>
      </c>
      <c r="G13" s="15" t="s">
        <v>39</v>
      </c>
      <c r="H13" s="15" t="s">
        <v>40</v>
      </c>
      <c r="I13" s="15" t="s">
        <v>41</v>
      </c>
      <c r="J13" s="15" t="s">
        <v>42</v>
      </c>
      <c r="K13" s="16">
        <v>1.93</v>
      </c>
      <c r="L13" s="12"/>
    </row>
    <row r="14" spans="1:12" ht="46.5" customHeight="1">
      <c r="A14" s="7" cm="1">
        <f t="array" ref="A14">ROW()-6</f>
        <v>8</v>
      </c>
      <c r="B14" s="25">
        <v>14</v>
      </c>
      <c r="C14" s="15" t="s">
        <v>31</v>
      </c>
      <c r="D14" s="9" t="s">
        <v>146</v>
      </c>
      <c r="E14" s="15" t="s">
        <v>32</v>
      </c>
      <c r="F14" s="15" t="s">
        <v>31</v>
      </c>
      <c r="G14" s="15" t="s">
        <v>33</v>
      </c>
      <c r="H14" s="15" t="s">
        <v>34</v>
      </c>
      <c r="I14" s="15" t="s">
        <v>35</v>
      </c>
      <c r="J14" s="15" t="s">
        <v>36</v>
      </c>
      <c r="K14" s="16">
        <v>1.56</v>
      </c>
      <c r="L14" s="12"/>
    </row>
    <row r="15" spans="1:12" ht="14.25" customHeight="1">
      <c r="A15" s="7" cm="1">
        <f t="array" ref="A15">ROW()-6</f>
        <v>9</v>
      </c>
      <c r="B15" s="25">
        <v>2</v>
      </c>
      <c r="C15" s="15" t="s">
        <v>43</v>
      </c>
      <c r="D15" s="9" t="s">
        <v>44</v>
      </c>
      <c r="E15" s="15" t="s">
        <v>32</v>
      </c>
      <c r="F15" s="15" t="s">
        <v>43</v>
      </c>
      <c r="G15" s="15" t="s">
        <v>45</v>
      </c>
      <c r="H15" s="15" t="s">
        <v>40</v>
      </c>
      <c r="I15" s="15" t="s">
        <v>46</v>
      </c>
      <c r="J15" s="15" t="s">
        <v>47</v>
      </c>
      <c r="K15" s="16">
        <v>1.68</v>
      </c>
      <c r="L15" s="12"/>
    </row>
    <row r="16" spans="1:12" ht="14.25" customHeight="1">
      <c r="A16" s="7" cm="1">
        <f t="array" ref="A16">ROW()-6</f>
        <v>10</v>
      </c>
      <c r="B16" s="25">
        <v>4</v>
      </c>
      <c r="C16" s="15" t="s">
        <v>48</v>
      </c>
      <c r="D16" s="9" t="s">
        <v>49</v>
      </c>
      <c r="E16" s="15" t="s">
        <v>50</v>
      </c>
      <c r="F16" s="15" t="s">
        <v>167</v>
      </c>
      <c r="G16" s="15" t="s">
        <v>51</v>
      </c>
      <c r="H16" s="15" t="s">
        <v>40</v>
      </c>
      <c r="I16" s="15" t="s">
        <v>52</v>
      </c>
      <c r="J16" s="15" t="s">
        <v>53</v>
      </c>
      <c r="K16" s="16">
        <v>2.2400000000000002</v>
      </c>
      <c r="L16" s="12"/>
    </row>
    <row r="17" spans="1:12" ht="31.5" customHeight="1">
      <c r="A17" s="7" cm="1">
        <f t="array" ref="A17">ROW()-6</f>
        <v>11</v>
      </c>
      <c r="B17" s="26">
        <v>10</v>
      </c>
      <c r="C17" s="15" t="s">
        <v>170</v>
      </c>
      <c r="D17" s="9" t="s">
        <v>54</v>
      </c>
      <c r="E17" s="15" t="s">
        <v>50</v>
      </c>
      <c r="F17" s="15" t="s">
        <v>168</v>
      </c>
      <c r="G17" s="15" t="s">
        <v>55</v>
      </c>
      <c r="H17" s="15" t="s">
        <v>40</v>
      </c>
      <c r="I17" s="15" t="s">
        <v>56</v>
      </c>
      <c r="J17" s="15" t="s">
        <v>57</v>
      </c>
      <c r="K17" s="16">
        <v>6.99</v>
      </c>
      <c r="L17" s="12"/>
    </row>
    <row r="18" spans="1:12" ht="14.25" customHeight="1">
      <c r="A18" s="7" cm="1">
        <f t="array" ref="A18">ROW()-6</f>
        <v>12</v>
      </c>
      <c r="B18" s="27">
        <v>8</v>
      </c>
      <c r="C18" s="15" t="s">
        <v>58</v>
      </c>
      <c r="D18" s="9" t="s">
        <v>59</v>
      </c>
      <c r="E18" s="15" t="s">
        <v>50</v>
      </c>
      <c r="F18" s="15" t="s">
        <v>169</v>
      </c>
      <c r="G18" s="17" t="s">
        <v>147</v>
      </c>
      <c r="H18" s="17"/>
      <c r="I18" s="15" t="s">
        <v>7</v>
      </c>
      <c r="J18" s="15" t="s">
        <v>60</v>
      </c>
      <c r="K18" s="16">
        <v>4.2</v>
      </c>
      <c r="L18" s="12"/>
    </row>
    <row r="19" spans="1:12" ht="14.25" customHeight="1">
      <c r="A19" s="7">
        <v>12</v>
      </c>
      <c r="B19" s="26">
        <v>2</v>
      </c>
      <c r="C19" s="15" t="s">
        <v>58</v>
      </c>
      <c r="D19" s="9" t="s">
        <v>61</v>
      </c>
      <c r="E19" s="15" t="s">
        <v>171</v>
      </c>
      <c r="F19" s="15" t="s">
        <v>148</v>
      </c>
      <c r="G19" s="15" t="s">
        <v>62</v>
      </c>
      <c r="H19" s="17"/>
      <c r="I19" s="15" t="s">
        <v>7</v>
      </c>
      <c r="J19" s="15" t="s">
        <v>63</v>
      </c>
      <c r="K19" s="16">
        <v>6.9</v>
      </c>
      <c r="L19" s="12"/>
    </row>
    <row r="20" spans="1:12" ht="14.25" customHeight="1">
      <c r="A20" s="7">
        <v>13</v>
      </c>
      <c r="B20" s="26">
        <v>2</v>
      </c>
      <c r="C20" s="15" t="s">
        <v>64</v>
      </c>
      <c r="D20" s="9" t="s">
        <v>65</v>
      </c>
      <c r="E20" s="15" t="s">
        <v>66</v>
      </c>
      <c r="F20" s="15" t="s">
        <v>149</v>
      </c>
      <c r="G20" s="15" t="s">
        <v>62</v>
      </c>
      <c r="H20" s="17"/>
      <c r="I20" s="15" t="s">
        <v>7</v>
      </c>
      <c r="J20" s="15" t="s">
        <v>67</v>
      </c>
      <c r="K20" s="16">
        <v>10.35</v>
      </c>
      <c r="L20" s="12"/>
    </row>
    <row r="22" spans="1:12" ht="14.25" customHeight="1">
      <c r="A22" s="7" cm="1">
        <f t="array" ref="A22">ROW()-6</f>
        <v>16</v>
      </c>
      <c r="B22" s="26">
        <v>2</v>
      </c>
      <c r="C22" s="15" t="s">
        <v>125</v>
      </c>
      <c r="D22" s="9" t="s">
        <v>126</v>
      </c>
      <c r="E22" s="15" t="s">
        <v>127</v>
      </c>
      <c r="F22" s="15" t="s">
        <v>125</v>
      </c>
      <c r="G22" s="15" t="s">
        <v>128</v>
      </c>
      <c r="H22" s="15" t="s">
        <v>129</v>
      </c>
      <c r="I22" s="15" t="s">
        <v>130</v>
      </c>
      <c r="J22" s="15" t="s">
        <v>131</v>
      </c>
      <c r="K22" s="16">
        <v>6.43</v>
      </c>
      <c r="L22" s="12"/>
    </row>
    <row r="24" spans="1:12" ht="14.25" customHeight="1">
      <c r="A24" s="7" cm="1">
        <f t="array" ref="A24">ROW()-6</f>
        <v>18</v>
      </c>
      <c r="B24" s="26">
        <v>1</v>
      </c>
      <c r="C24" s="15" t="s">
        <v>68</v>
      </c>
      <c r="D24" s="9" t="s">
        <v>69</v>
      </c>
      <c r="E24" s="15" t="s">
        <v>70</v>
      </c>
      <c r="F24" s="17"/>
      <c r="G24" s="15" t="s">
        <v>68</v>
      </c>
      <c r="H24" s="15" t="s">
        <v>71</v>
      </c>
      <c r="I24" s="15" t="s">
        <v>72</v>
      </c>
      <c r="J24" s="15" t="s">
        <v>73</v>
      </c>
      <c r="K24" s="16">
        <v>3.03</v>
      </c>
      <c r="L24" s="12"/>
    </row>
    <row r="25" spans="1:12" ht="14.25" customHeight="1">
      <c r="A25" s="7" cm="1">
        <f t="array" ref="A25">ROW()-6</f>
        <v>19</v>
      </c>
      <c r="B25" s="26">
        <v>1</v>
      </c>
      <c r="C25" s="15" t="s">
        <v>74</v>
      </c>
      <c r="D25" s="9" t="s">
        <v>75</v>
      </c>
      <c r="E25" s="15" t="s">
        <v>76</v>
      </c>
      <c r="F25" s="17"/>
      <c r="G25" s="15" t="s">
        <v>74</v>
      </c>
      <c r="H25" s="15" t="s">
        <v>77</v>
      </c>
      <c r="I25" s="15" t="s">
        <v>78</v>
      </c>
      <c r="J25" s="15" t="s">
        <v>79</v>
      </c>
      <c r="K25" s="16">
        <v>4.71</v>
      </c>
      <c r="L25" s="12"/>
    </row>
    <row r="26" spans="1:12" ht="14.25" customHeight="1">
      <c r="A26" s="7" cm="1">
        <f t="array" ref="A26">ROW()-6</f>
        <v>20</v>
      </c>
      <c r="B26" s="27">
        <v>1</v>
      </c>
      <c r="C26" s="15" t="s">
        <v>80</v>
      </c>
      <c r="D26" s="9" t="s">
        <v>81</v>
      </c>
      <c r="E26" s="15" t="s">
        <v>76</v>
      </c>
      <c r="F26" s="17"/>
      <c r="G26" s="15" t="s">
        <v>80</v>
      </c>
      <c r="H26" s="15" t="s">
        <v>77</v>
      </c>
      <c r="I26" s="15" t="s">
        <v>82</v>
      </c>
      <c r="J26" s="15" t="s">
        <v>83</v>
      </c>
      <c r="K26" s="16">
        <v>2.34</v>
      </c>
      <c r="L26" s="12"/>
    </row>
    <row r="27" spans="1:12" ht="14.25" customHeight="1">
      <c r="A27" s="7" cm="1">
        <f t="array" ref="A27">ROW()-6</f>
        <v>21</v>
      </c>
      <c r="B27" s="27">
        <v>1</v>
      </c>
      <c r="C27" s="15" t="s">
        <v>115</v>
      </c>
      <c r="D27" s="9" t="s">
        <v>116</v>
      </c>
      <c r="E27" s="15" t="s">
        <v>117</v>
      </c>
      <c r="F27" s="17"/>
      <c r="G27" s="15" t="s">
        <v>115</v>
      </c>
      <c r="H27" s="15" t="s">
        <v>118</v>
      </c>
      <c r="I27" s="15" t="s">
        <v>119</v>
      </c>
      <c r="J27" s="15" t="s">
        <v>120</v>
      </c>
      <c r="K27" s="16">
        <v>6.83</v>
      </c>
      <c r="L27" s="12"/>
    </row>
    <row r="28" spans="1:12" ht="14.25" customHeight="1">
      <c r="A28" s="7" cm="1">
        <f t="array" ref="A28">ROW()-6</f>
        <v>22</v>
      </c>
      <c r="B28" s="27">
        <v>4</v>
      </c>
      <c r="C28" s="15" t="s">
        <v>3</v>
      </c>
      <c r="D28" s="9" t="s">
        <v>4</v>
      </c>
      <c r="E28" s="15" t="s">
        <v>5</v>
      </c>
      <c r="F28" s="17"/>
      <c r="G28" s="15" t="s">
        <v>3</v>
      </c>
      <c r="H28" s="15" t="s">
        <v>6</v>
      </c>
      <c r="I28" s="15" t="s">
        <v>7</v>
      </c>
      <c r="J28" s="15" t="s">
        <v>8</v>
      </c>
      <c r="K28" s="16">
        <v>2.4</v>
      </c>
      <c r="L28" s="12"/>
    </row>
    <row r="30" spans="1:12" ht="14.25" customHeight="1">
      <c r="A30" s="7" cm="1">
        <f t="array" ref="A30">ROW()-6</f>
        <v>24</v>
      </c>
      <c r="B30" s="27">
        <v>1</v>
      </c>
      <c r="C30" s="15" t="s">
        <v>84</v>
      </c>
      <c r="D30" s="9" t="s">
        <v>85</v>
      </c>
      <c r="E30" s="15" t="s">
        <v>86</v>
      </c>
      <c r="F30" s="17"/>
      <c r="G30" s="15" t="s">
        <v>84</v>
      </c>
      <c r="H30" s="15" t="s">
        <v>87</v>
      </c>
      <c r="I30" s="15" t="s">
        <v>88</v>
      </c>
      <c r="J30" s="15" t="s">
        <v>89</v>
      </c>
      <c r="K30" s="16">
        <v>2.36</v>
      </c>
      <c r="L30" s="12"/>
    </row>
    <row r="31" spans="1:12" ht="14.25" customHeight="1">
      <c r="A31" s="7" cm="1">
        <f t="array" ref="A31">ROW()-6</f>
        <v>25</v>
      </c>
      <c r="B31" s="27">
        <v>2</v>
      </c>
      <c r="C31" s="15" t="s">
        <v>97</v>
      </c>
      <c r="D31" s="9" t="s">
        <v>98</v>
      </c>
      <c r="E31" s="15" t="s">
        <v>99</v>
      </c>
      <c r="F31" s="17"/>
      <c r="G31" s="15" t="s">
        <v>97</v>
      </c>
      <c r="H31" s="15" t="s">
        <v>100</v>
      </c>
      <c r="I31" s="15" t="s">
        <v>101</v>
      </c>
      <c r="J31" s="15" t="s">
        <v>102</v>
      </c>
      <c r="K31" s="16">
        <v>10</v>
      </c>
      <c r="L31" s="12"/>
    </row>
    <row r="32" spans="1:12" ht="14.25" customHeight="1">
      <c r="A32" s="7" cm="1">
        <f t="array" ref="A32">ROW()-6</f>
        <v>26</v>
      </c>
      <c r="B32" s="27">
        <v>2</v>
      </c>
      <c r="C32" s="15" t="s">
        <v>137</v>
      </c>
      <c r="D32" s="9" t="s">
        <v>138</v>
      </c>
      <c r="E32" s="15" t="s">
        <v>139</v>
      </c>
      <c r="F32" s="17"/>
      <c r="G32" s="15" t="s">
        <v>137</v>
      </c>
      <c r="H32" s="15" t="s">
        <v>140</v>
      </c>
      <c r="I32" s="15" t="s">
        <v>141</v>
      </c>
      <c r="J32" s="15" t="s">
        <v>142</v>
      </c>
      <c r="K32" s="16">
        <v>8</v>
      </c>
      <c r="L32" s="12"/>
    </row>
    <row r="34" spans="1:12" ht="14.25" customHeight="1">
      <c r="A34" s="7" cm="1">
        <f t="array" ref="A34">ROW()-6</f>
        <v>28</v>
      </c>
      <c r="B34" s="26">
        <v>1</v>
      </c>
      <c r="C34" s="15" t="s">
        <v>103</v>
      </c>
      <c r="D34" s="9" t="s">
        <v>104</v>
      </c>
      <c r="E34" s="15" t="s">
        <v>105</v>
      </c>
      <c r="F34" s="17"/>
      <c r="G34" s="15" t="s">
        <v>103</v>
      </c>
      <c r="H34" s="15" t="s">
        <v>106</v>
      </c>
      <c r="I34" s="15" t="s">
        <v>107</v>
      </c>
      <c r="J34" s="15" t="s">
        <v>108</v>
      </c>
      <c r="K34" s="16">
        <v>1.89</v>
      </c>
      <c r="L34" s="12"/>
    </row>
    <row r="35" spans="1:12" ht="14.25" customHeight="1">
      <c r="A35" s="7" cm="1">
        <f t="array" ref="A35">ROW()-6</f>
        <v>29</v>
      </c>
      <c r="B35" s="26">
        <v>1</v>
      </c>
      <c r="C35" s="15" t="s">
        <v>109</v>
      </c>
      <c r="D35" s="9" t="s">
        <v>110</v>
      </c>
      <c r="E35" s="15" t="s">
        <v>111</v>
      </c>
      <c r="F35" s="17"/>
      <c r="G35" s="15" t="s">
        <v>109</v>
      </c>
      <c r="H35" s="15" t="s">
        <v>112</v>
      </c>
      <c r="I35" s="15" t="s">
        <v>113</v>
      </c>
      <c r="J35" s="15" t="s">
        <v>114</v>
      </c>
      <c r="K35" s="16">
        <v>3.73</v>
      </c>
      <c r="L35" s="12"/>
    </row>
    <row r="36" spans="1:12" ht="14.25" customHeight="1">
      <c r="A36" s="7" cm="1">
        <f t="array" ref="A36">ROW()-6</f>
        <v>30</v>
      </c>
      <c r="B36" s="27">
        <v>2</v>
      </c>
      <c r="C36" s="15" t="s">
        <v>121</v>
      </c>
      <c r="D36" s="9" t="s">
        <v>122</v>
      </c>
      <c r="E36" s="15" t="s">
        <v>123</v>
      </c>
      <c r="F36" s="17"/>
      <c r="G36" s="8" t="s">
        <v>150</v>
      </c>
      <c r="H36" s="8" t="s">
        <v>135</v>
      </c>
      <c r="I36" s="15" t="s">
        <v>7</v>
      </c>
      <c r="J36" s="15" t="s">
        <v>124</v>
      </c>
      <c r="K36" s="16">
        <v>2.8</v>
      </c>
      <c r="L36" s="12"/>
    </row>
    <row r="37" spans="1:12" ht="14.25" customHeight="1">
      <c r="A37" s="7" cm="1">
        <f t="array" ref="A37">ROW()-6</f>
        <v>31</v>
      </c>
      <c r="B37" s="25">
        <v>2</v>
      </c>
      <c r="C37" s="15" t="s">
        <v>132</v>
      </c>
      <c r="D37" s="9" t="s">
        <v>133</v>
      </c>
      <c r="E37" s="15" t="s">
        <v>134</v>
      </c>
      <c r="F37" s="17"/>
      <c r="G37" s="8"/>
      <c r="H37" s="8" t="s">
        <v>135</v>
      </c>
      <c r="I37" s="15" t="s">
        <v>7</v>
      </c>
      <c r="J37" s="15" t="s">
        <v>136</v>
      </c>
      <c r="K37" s="16">
        <v>6.7</v>
      </c>
      <c r="L37" s="12"/>
    </row>
    <row r="38" spans="1:12" ht="14.25" customHeight="1">
      <c r="A38" s="7" cm="1">
        <f t="array" ref="A38">ROW()-6</f>
        <v>32</v>
      </c>
      <c r="B38" s="26">
        <v>1</v>
      </c>
      <c r="C38" s="8" t="s">
        <v>143</v>
      </c>
      <c r="D38" s="11"/>
      <c r="E38" s="17"/>
      <c r="F38" s="8"/>
      <c r="G38" s="8" t="s">
        <v>144</v>
      </c>
      <c r="H38" s="17"/>
      <c r="I38" s="15" t="s">
        <v>7</v>
      </c>
      <c r="J38" s="15" t="s">
        <v>145</v>
      </c>
      <c r="K38" s="16">
        <v>0.9</v>
      </c>
      <c r="L38" s="12"/>
    </row>
    <row r="39" spans="1:12" ht="14.25" customHeight="1">
      <c r="A39" s="18" cm="1">
        <f t="array" ref="A39">ROW()-6</f>
        <v>33</v>
      </c>
      <c r="B39" s="28">
        <v>1</v>
      </c>
      <c r="C39" s="19" t="s">
        <v>153</v>
      </c>
      <c r="D39" s="20"/>
      <c r="E39" s="21"/>
      <c r="F39" s="19"/>
      <c r="G39" s="21" t="s">
        <v>165</v>
      </c>
      <c r="H39" s="21"/>
      <c r="I39" s="22" t="s">
        <v>7</v>
      </c>
      <c r="J39" s="22" t="s">
        <v>154</v>
      </c>
      <c r="K39" s="23">
        <v>4</v>
      </c>
      <c r="L39" s="24"/>
    </row>
    <row r="40" spans="1:12" ht="14.2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>
        <f>SUM(K7:K39)</f>
        <v>107.66000000000001</v>
      </c>
      <c r="L40" s="12"/>
    </row>
  </sheetData>
  <mergeCells count="3">
    <mergeCell ref="A1:D5"/>
    <mergeCell ref="E1:E2"/>
    <mergeCell ref="F1:L5"/>
  </mergeCells>
  <phoneticPr fontId="1" type="noConversion"/>
  <pageMargins left="0.7" right="0.7" top="0.75" bottom="0.75" header="0.3" footer="0.3"/>
  <pageSetup orientation="portrait"/>
  <headerFooter>
    <oddFooter>&amp;C&amp;"Helvetica Neue,Regular"&amp;11&amp;K000000&amp;P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多协议桌面充电站3.0上层BOM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昌金 李</cp:lastModifiedBy>
  <dcterms:modified xsi:type="dcterms:W3CDTF">2025-08-16T16:15:34Z</dcterms:modified>
</cp:coreProperties>
</file>