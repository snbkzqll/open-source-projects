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Documents\GitHub\open-source-projects\彩屏Mini-T12【0603封装重置版】（已完结）\"/>
    </mc:Choice>
  </mc:AlternateContent>
  <xr:revisionPtr revIDLastSave="0" documentId="13_ncr:1_{1ACAC7DB-CE12-497F-A0AA-7296E92468D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  <sheet name="Sheet1" sheetId="2" r:id="rId2"/>
    <sheet name="Sheet2" sheetId="3" r:id="rId3"/>
  </sheets>
  <definedNames>
    <definedName name="_xlnm._FilterDatabase" localSheetId="0" hidden="1">Worksheet!$A$1:$K$59</definedName>
  </definedNames>
  <calcPr calcId="191029"/>
</workbook>
</file>

<file path=xl/calcChain.xml><?xml version="1.0" encoding="utf-8"?>
<calcChain xmlns="http://schemas.openxmlformats.org/spreadsheetml/2006/main">
  <c r="E54" i="3" l="1"/>
  <c r="D54" i="3"/>
  <c r="E50" i="3"/>
  <c r="E24" i="3"/>
  <c r="E23" i="3"/>
  <c r="E22" i="3"/>
  <c r="E21" i="3"/>
  <c r="D21" i="3"/>
  <c r="E20" i="3"/>
  <c r="E16" i="3"/>
  <c r="E13" i="3"/>
  <c r="E12" i="3"/>
  <c r="D11" i="3"/>
  <c r="E9" i="3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<sst xmlns="http://schemas.openxmlformats.org/spreadsheetml/2006/main" count="496" uniqueCount="320">
  <si>
    <t>No</t>
  </si>
  <si>
    <t>Quantity</t>
  </si>
  <si>
    <t>Device</t>
  </si>
  <si>
    <t>Designator</t>
  </si>
  <si>
    <t>Footprint</t>
  </si>
  <si>
    <t>Value</t>
  </si>
  <si>
    <t>Manufacturer Part</t>
  </si>
  <si>
    <t>Manufacturer</t>
  </si>
  <si>
    <t>Supplier Part</t>
  </si>
  <si>
    <t>备注</t>
  </si>
  <si>
    <t>CL31A106KBHNNNE</t>
  </si>
  <si>
    <t>C5,C6</t>
  </si>
  <si>
    <t>1206C</t>
  </si>
  <si>
    <t>10uF,50V</t>
  </si>
  <si>
    <t>SAMSUNG(三星)</t>
  </si>
  <si>
    <t>C13585</t>
  </si>
  <si>
    <t>优信</t>
  </si>
  <si>
    <t>https://item.taobao.com/item.htm?spm=a1z10.3-c-s.w4002-24706531953.9.5a5d6a4bURrRhl&amp;id=537772527714</t>
  </si>
  <si>
    <t>PTVS28VS1UR,115</t>
  </si>
  <si>
    <t>D1</t>
  </si>
  <si>
    <t>SOD123</t>
  </si>
  <si>
    <t>TVS28V</t>
  </si>
  <si>
    <t>Nexperia(安世)</t>
  </si>
  <si>
    <t>C553406</t>
  </si>
  <si>
    <t>防浪涌二极管 可以上28V以上同封装的,CCG标识</t>
  </si>
  <si>
    <t>https://detail.tmall.com/item.htm?id=624944749957&amp;spm=a1z0d.6639537/tb.0.0.d7547484Y0O3fy</t>
  </si>
  <si>
    <t>1N5819WS_C191023</t>
  </si>
  <si>
    <t>D2</t>
  </si>
  <si>
    <t>SOD323</t>
  </si>
  <si>
    <t>1N5819</t>
  </si>
  <si>
    <t>1N5819WS</t>
  </si>
  <si>
    <t>Hottech(合科泰)</t>
  </si>
  <si>
    <t>C191023</t>
  </si>
  <si>
    <t>https://item.taobao.com/item.htm?id=522574162326&amp;spm=a1z0d.6639537/tb.0.0.51f07484bKW9mA</t>
  </si>
  <si>
    <t>KT-0603R</t>
  </si>
  <si>
    <r>
      <rPr>
        <sz val="11"/>
        <color rgb="FF000000"/>
        <rFont val="Calibri"/>
        <family val="2"/>
      </rPr>
      <t>D3,D4,</t>
    </r>
    <r>
      <rPr>
        <sz val="11"/>
        <color rgb="FF00B0F0"/>
        <rFont val="Calibri"/>
        <family val="2"/>
      </rPr>
      <t>LED1</t>
    </r>
  </si>
  <si>
    <t>0603LED</t>
  </si>
  <si>
    <t>LED yellow</t>
  </si>
  <si>
    <t>KENTO</t>
  </si>
  <si>
    <t>C2286</t>
  </si>
  <si>
    <t>优信，啥颜色都可以，黄色</t>
  </si>
  <si>
    <t>https://item.taobao.com/item.htm?id=522573101897&amp;spm=a1z0d.6639537/tb.1997196601.4.27277484KyGutC</t>
  </si>
  <si>
    <t>D13</t>
  </si>
  <si>
    <t>LED0603</t>
  </si>
  <si>
    <t>优信，啥颜色都可以，红色</t>
  </si>
  <si>
    <t>https://item.taobao.com/item.htm?id=522554271548&amp;spm=a1z0d.6639537/tb.0.0.27277484KyGutC</t>
  </si>
  <si>
    <t>1N4148WS_C2128</t>
  </si>
  <si>
    <t>D5</t>
  </si>
  <si>
    <t>DIODE-1N4148-SOD323</t>
  </si>
  <si>
    <t>1N4148WS</t>
  </si>
  <si>
    <r>
      <rPr>
        <sz val="11"/>
        <color rgb="FF000000"/>
        <rFont val="Calibri"/>
        <family val="2"/>
      </rPr>
      <t>CJ(</t>
    </r>
    <r>
      <rPr>
        <sz val="11"/>
        <color rgb="FF000000"/>
        <rFont val="宋体"/>
        <family val="3"/>
        <charset val="134"/>
      </rPr>
      <t>江苏长电</t>
    </r>
    <r>
      <rPr>
        <sz val="11"/>
        <color rgb="FF000000"/>
        <rFont val="Calibri"/>
        <family val="2"/>
      </rPr>
      <t>/</t>
    </r>
    <r>
      <rPr>
        <sz val="11"/>
        <color rgb="FF000000"/>
        <rFont val="宋体"/>
        <family val="3"/>
        <charset val="134"/>
      </rPr>
      <t>长晶</t>
    </r>
    <r>
      <rPr>
        <sz val="11"/>
        <color rgb="FF000000"/>
        <rFont val="Calibri"/>
        <family val="2"/>
      </rPr>
      <t>)</t>
    </r>
  </si>
  <si>
    <t>C2128</t>
  </si>
  <si>
    <t>https://item.taobao.com/item.htm?id=528141270044&amp;spm=a1z0d.6639537/tb.0.0.27277484bTl6kP</t>
  </si>
  <si>
    <t>D7</t>
  </si>
  <si>
    <t>1N4148</t>
  </si>
  <si>
    <t>CJ(江苏长电/长晶)</t>
  </si>
  <si>
    <r>
      <rPr>
        <sz val="11"/>
        <color rgb="FF000000"/>
        <rFont val="Calibri"/>
        <family val="2"/>
      </rPr>
      <t xml:space="preserve">4028 </t>
    </r>
    <r>
      <rPr>
        <sz val="11"/>
        <color rgb="FF000000"/>
        <rFont val="宋体"/>
        <family val="3"/>
        <charset val="134"/>
      </rPr>
      <t>全彩</t>
    </r>
    <r>
      <rPr>
        <sz val="11"/>
        <color rgb="FF000000"/>
        <rFont val="Calibri"/>
        <family val="2"/>
      </rPr>
      <t xml:space="preserve"> D </t>
    </r>
    <r>
      <rPr>
        <sz val="11"/>
        <color rgb="FF000000"/>
        <rFont val="宋体"/>
        <family val="3"/>
        <charset val="134"/>
      </rPr>
      <t>带</t>
    </r>
    <r>
      <rPr>
        <sz val="11"/>
        <color rgb="FF000000"/>
        <rFont val="Calibri"/>
        <family val="2"/>
      </rPr>
      <t xml:space="preserve"> IC(1802)</t>
    </r>
    <r>
      <rPr>
        <sz val="11"/>
        <color rgb="FF000000"/>
        <rFont val="宋体"/>
        <family val="3"/>
        <charset val="134"/>
      </rPr>
      <t>正贴</t>
    </r>
  </si>
  <si>
    <t>D14</t>
  </si>
  <si>
    <t>LED4020_WS2812</t>
  </si>
  <si>
    <t>LED4020_ws2812</t>
  </si>
  <si>
    <t>C9900009497</t>
  </si>
  <si>
    <t>RGB灯珠 测试用 可以不上</t>
  </si>
  <si>
    <t>https://item.taobao.com/item.htm?abbucket=1&amp;id=674042910084&amp;ns=1&amp;skuId=4851289500636&amp;spm=a21n57.1.0.0.632f523cAJTwwF</t>
  </si>
  <si>
    <t>SMTFPC连接器0.5MM间距翻盖8PIN</t>
  </si>
  <si>
    <t>J1</t>
  </si>
  <si>
    <t>FPC_0M50_8P</t>
  </si>
  <si>
    <r>
      <rPr>
        <sz val="11"/>
        <color rgb="FF000000"/>
        <rFont val="Calibri"/>
        <family val="2"/>
      </rPr>
      <t>SMTFPC</t>
    </r>
    <r>
      <rPr>
        <sz val="11"/>
        <color rgb="FF000000"/>
        <rFont val="宋体"/>
        <family val="3"/>
        <charset val="134"/>
      </rPr>
      <t>连接器</t>
    </r>
    <r>
      <rPr>
        <sz val="11"/>
        <color rgb="FF000000"/>
        <rFont val="Calibri"/>
        <family val="2"/>
      </rPr>
      <t>0.5MM</t>
    </r>
    <r>
      <rPr>
        <sz val="11"/>
        <color rgb="FF000000"/>
        <rFont val="宋体"/>
        <family val="3"/>
        <charset val="134"/>
      </rPr>
      <t>间距翻盖</t>
    </r>
    <r>
      <rPr>
        <sz val="11"/>
        <color rgb="FF000000"/>
        <rFont val="Calibri"/>
        <family val="2"/>
      </rPr>
      <t>8PIN</t>
    </r>
  </si>
  <si>
    <t>C9900001730</t>
  </si>
  <si>
    <t>下接和翻盖下接都可以，8P下接翻盖0.5间距，优信</t>
  </si>
  <si>
    <t>https://item.taobao.com/item.htm?spm=a1z0d.7625083.0.0.5c5f4e69aZNryQ&amp;id=552629356951</t>
  </si>
  <si>
    <t>WAFER-MX1.25-4PZZ</t>
  </si>
  <si>
    <t>J6</t>
  </si>
  <si>
    <t>SWD_1_27_4P</t>
  </si>
  <si>
    <t>PH2_0_4P</t>
  </si>
  <si>
    <t>XUNPU(讯普)</t>
  </si>
  <si>
    <t>C3029397</t>
  </si>
  <si>
    <t>烧录用的，不用买</t>
  </si>
  <si>
    <t>https://item.taobao.com/item.htm?spm=a21n57.1.0.0.1e0f523clQzC7S&amp;id=746395847698&amp;ns=1&amp;abbucket=1#detail</t>
  </si>
  <si>
    <r>
      <rPr>
        <sz val="11"/>
        <color rgb="FF000000"/>
        <rFont val="Calibri"/>
        <family val="2"/>
      </rPr>
      <t>T12</t>
    </r>
    <r>
      <rPr>
        <sz val="11"/>
        <color rgb="FF000000"/>
        <rFont val="宋体"/>
        <family val="3"/>
        <charset val="134"/>
      </rPr>
      <t>弹片</t>
    </r>
  </si>
  <si>
    <t>J13,J14,J19,J20</t>
  </si>
  <si>
    <t>T12TANPIAN</t>
  </si>
  <si>
    <t>t12_tanpian</t>
  </si>
  <si>
    <t>这家是最便宜的了</t>
  </si>
  <si>
    <t>https://item.taobao.com/item.htm?spm=3390d.1.0.0.47f5523chj4pFd&amp;id=743621689966&amp;ns=1&amp;abbucket=13#detail</t>
  </si>
  <si>
    <t>LS1</t>
  </si>
  <si>
    <t>BUZZ_5020</t>
  </si>
  <si>
    <t>BEEP</t>
  </si>
  <si>
    <t>KLJ-5025</t>
  </si>
  <si>
    <t>KELIKING</t>
  </si>
  <si>
    <t>C201046</t>
  </si>
  <si>
    <t>5.5*2无源3.3V，优信</t>
  </si>
  <si>
    <t>https://item.taobao.com/item.htm?spm=a1z10.3-c-s.w4002-24706531953.9.51716a4bfGJ2Oe&amp;id=556098727646</t>
  </si>
  <si>
    <t>CD32</t>
  </si>
  <si>
    <t>L1</t>
  </si>
  <si>
    <t>CD32_M</t>
  </si>
  <si>
    <t>22uH</t>
  </si>
  <si>
    <t>CD32-470M</t>
  </si>
  <si>
    <t>DMBJ(振宝佳)</t>
  </si>
  <si>
    <t>22UH/1A电感，优信</t>
  </si>
  <si>
    <t>https://item.taobao.com/item.htm?spm=a1z0d.6639537/tb.1997196601.4.68637484VfPkh7&amp;id=522572158527</t>
  </si>
  <si>
    <t>S8050</t>
  </si>
  <si>
    <t>Q1</t>
  </si>
  <si>
    <t>SOT23-3</t>
  </si>
  <si>
    <t>CJ</t>
  </si>
  <si>
    <t>C2146</t>
  </si>
  <si>
    <t>优信，三极管</t>
  </si>
  <si>
    <t>https://item.taobao.com/item.htm?spm=1383c.6639537/tb.1997196601.4.1e787484x6Iy7G&amp;id=522577964105</t>
  </si>
  <si>
    <t>SS8050</t>
  </si>
  <si>
    <t>AON7403</t>
  </si>
  <si>
    <t>Q10</t>
  </si>
  <si>
    <t>DFN_3X3</t>
  </si>
  <si>
    <t>AOS</t>
  </si>
  <si>
    <t>C115841</t>
  </si>
  <si>
    <t>PMOS可用AON7409，优信</t>
  </si>
  <si>
    <t>https://item.taobao.com/item.htm?spm=a1z0d.6639537/tb.1997196601.4.1f087484fFlu7b&amp;id=618843925664</t>
  </si>
  <si>
    <t>KNTC0603/10KF3950</t>
  </si>
  <si>
    <t>RT1</t>
  </si>
  <si>
    <t>R0603</t>
  </si>
  <si>
    <t>KUU</t>
  </si>
  <si>
    <t>C2892547</t>
  </si>
  <si>
    <t>B值3450 10K，优信</t>
  </si>
  <si>
    <t>https://item.taobao.com/item.htm?spm=a1z10.3-c-s.w4002-24706531953.17.7b386a4bq3OhKP&amp;id=560131917314</t>
  </si>
  <si>
    <t>SW-200D-15A10G</t>
  </si>
  <si>
    <t>SW9</t>
  </si>
  <si>
    <t>SW_200D</t>
  </si>
  <si>
    <t>XKB Connectivity(中国星坤)</t>
  </si>
  <si>
    <t>C2905289</t>
  </si>
  <si>
    <t>震动开关，可以和螺纹头一起买</t>
  </si>
  <si>
    <t>https://item.taobao.com/item.htm?id=548542180945&amp;spm=a1z0d.6639537/tb.0.0.611f74849vXGad&amp;skuId=5294043115920</t>
  </si>
  <si>
    <t>1TS003B-1400-3500A-CT</t>
  </si>
  <si>
    <t>SW10,SW11,SW12</t>
  </si>
  <si>
    <t>BUTTON_CE_2X4_2P</t>
  </si>
  <si>
    <t>SW_2X4_2P_CE</t>
  </si>
  <si>
    <t>HYP(鸿源精密)</t>
  </si>
  <si>
    <t>C319392</t>
  </si>
  <si>
    <t>侧贴 2*4*3.5MM，优信</t>
  </si>
  <si>
    <t>https://item.taobao.com/item.htm?spm=a1z10.3-c-s.w4002-24706531953.16.2af26a4bPmy3Lc&amp;id=546690284515</t>
  </si>
  <si>
    <t>TYPE-C16PIN母座 板上四脚三次molding</t>
  </si>
  <si>
    <t>U2</t>
  </si>
  <si>
    <t>TYPE_C_16P_NEW</t>
  </si>
  <si>
    <t>USB_C_16P</t>
  </si>
  <si>
    <r>
      <rPr>
        <sz val="11"/>
        <color rgb="FF000000"/>
        <rFont val="Calibri"/>
        <family val="2"/>
      </rPr>
      <t>TYPE-C16PIN</t>
    </r>
    <r>
      <rPr>
        <sz val="11"/>
        <color rgb="FF000000"/>
        <rFont val="宋体"/>
        <family val="3"/>
        <charset val="134"/>
      </rPr>
      <t>母座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板上四脚三次</t>
    </r>
    <r>
      <rPr>
        <sz val="11"/>
        <color rgb="FF000000"/>
        <rFont val="Calibri"/>
        <family val="2"/>
      </rPr>
      <t>molding</t>
    </r>
  </si>
  <si>
    <t>C9900000202</t>
  </si>
  <si>
    <t>16PINtypec，优信</t>
  </si>
  <si>
    <t>https://item.taobao.com/item.htm?spm=a1z10.3-c-s.w4002-24706531953.9.461b6a4buoaPJa&amp;id=573090887123</t>
  </si>
  <si>
    <t>Air32F103CCT6</t>
  </si>
  <si>
    <t>U4</t>
  </si>
  <si>
    <t>LQFP48_7X7_S</t>
  </si>
  <si>
    <t>MCU-AIR32F103CBT6-LQFP48</t>
  </si>
  <si>
    <t>AIR32F103CCT6</t>
  </si>
  <si>
    <t>https://item.taobao.com/item.htm?id=676775991179</t>
  </si>
  <si>
    <t>MCP6001</t>
  </si>
  <si>
    <t>U6</t>
  </si>
  <si>
    <t>SOT23-5</t>
  </si>
  <si>
    <t>C116490</t>
  </si>
  <si>
    <t>https://item.taobao.com/item.htm?id=564164961306&amp;spm=a1z10.5-c-s.w4002-24706531925.9.362c44507QJPxA</t>
  </si>
  <si>
    <t>BL1532</t>
  </si>
  <si>
    <t>U9</t>
  </si>
  <si>
    <t>QFN_10</t>
  </si>
  <si>
    <t>SW-BL1532-QFN-10</t>
  </si>
  <si>
    <t>模拟开关，注意正极朝向</t>
  </si>
  <si>
    <t>https://item.taobao.com/item.htm?id=584393111191</t>
  </si>
  <si>
    <t>24MHz_20ppm_18pF</t>
  </si>
  <si>
    <t>Y2</t>
  </si>
  <si>
    <t>OSC3225</t>
  </si>
  <si>
    <t>8MHZ</t>
  </si>
  <si>
    <t>C9900011448</t>
  </si>
  <si>
    <t>https://item.taobao.com/item.htm?spm=a1z10.3-c-s.0.0.6e646a4bgTPovz&amp;id=624959605211</t>
  </si>
  <si>
    <t>CC0603KRX7R9BB104</t>
  </si>
  <si>
    <t>C1,C7,C9,C10,C11,C12,C15,C16,C17,C20,C21,C26,C27,C28,C29</t>
  </si>
  <si>
    <t>C0603</t>
  </si>
  <si>
    <t>100nF</t>
  </si>
  <si>
    <t>YAGEO(国巨)</t>
  </si>
  <si>
    <t>C14663</t>
  </si>
  <si>
    <t>100nF/50V</t>
  </si>
  <si>
    <t>CL10C330JB8NNNC</t>
  </si>
  <si>
    <t>C2</t>
  </si>
  <si>
    <t>33pF</t>
  </si>
  <si>
    <t>C1663</t>
  </si>
  <si>
    <t>33PF/50V 优信</t>
  </si>
  <si>
    <t>https://item.taobao.com/item.htm?spm=a1z10.3-c-s.0.0.3df76a4bqQOhGd&amp;id=537656646135</t>
  </si>
  <si>
    <t>CL10A475KO8NNNC</t>
  </si>
  <si>
    <t>C3,C30</t>
  </si>
  <si>
    <t>4.7uF,10V</t>
  </si>
  <si>
    <t>C19666</t>
  </si>
  <si>
    <t>4.7uf/10v 优信</t>
  </si>
  <si>
    <t>https://item.taobao.com/item.htm?id=537668686643</t>
  </si>
  <si>
    <t>CL10A475KA8NQNC</t>
  </si>
  <si>
    <t>C4</t>
  </si>
  <si>
    <r>
      <rPr>
        <sz val="11"/>
        <color rgb="FF000000"/>
        <rFont val="Calibri"/>
        <family val="2"/>
      </rPr>
      <t>4.7uF</t>
    </r>
    <r>
      <rPr>
        <sz val="11"/>
        <color rgb="FF000000"/>
        <rFont val="宋体"/>
        <family val="3"/>
        <charset val="134"/>
      </rPr>
      <t>,</t>
    </r>
    <r>
      <rPr>
        <sz val="11"/>
        <color rgb="FF000000"/>
        <rFont val="Calibri"/>
        <family val="2"/>
      </rPr>
      <t>50V</t>
    </r>
  </si>
  <si>
    <t>C69335</t>
  </si>
  <si>
    <t>4.7uF,50V 欧贝顿</t>
  </si>
  <si>
    <t>https://item.taobao.com/item.htm?spm=2013.1.0.0.3ee9650dDdwQC2&amp;id=537706477476</t>
  </si>
  <si>
    <t>CL10C120JB8NNNC</t>
  </si>
  <si>
    <t>C18,C19</t>
  </si>
  <si>
    <t>12pF</t>
  </si>
  <si>
    <t>C38523</t>
  </si>
  <si>
    <t>12PF/50V，优信</t>
  </si>
  <si>
    <t>https://item.taobao.com/item.htm?spm=a1z10.3-c-s.0.0.1bc76a4bZzsG1o&amp;id=560923686976</t>
  </si>
  <si>
    <t>CL10A105KB8NNNC</t>
  </si>
  <si>
    <t>C31,C24</t>
  </si>
  <si>
    <t>1uF</t>
  </si>
  <si>
    <t>C15849</t>
  </si>
  <si>
    <t>1uf/50v，优信</t>
  </si>
  <si>
    <t>0603WAF0000T5E</t>
  </si>
  <si>
    <t>FB2,R47,R50,R53</t>
  </si>
  <si>
    <t>0Ω</t>
  </si>
  <si>
    <t>UNI-ROYAL(厚声)</t>
  </si>
  <si>
    <t>C21189</t>
  </si>
  <si>
    <t>现已有38只</t>
  </si>
  <si>
    <t>0603WAF7502T5E</t>
  </si>
  <si>
    <t>R2,R17</t>
  </si>
  <si>
    <t>75kΩ</t>
  </si>
  <si>
    <t>C23242</t>
  </si>
  <si>
    <t>现已有</t>
  </si>
  <si>
    <t>R2</t>
  </si>
  <si>
    <t>49.9kΩ</t>
  </si>
  <si>
    <t>使用75K代替</t>
  </si>
  <si>
    <t>R17</t>
  </si>
  <si>
    <t>0603WAF2402T5E</t>
  </si>
  <si>
    <t>R5</t>
  </si>
  <si>
    <t>24kΩ</t>
  </si>
  <si>
    <t>C23352</t>
  </si>
  <si>
    <t>16.2kΩ</t>
  </si>
  <si>
    <t>使用24K代替</t>
  </si>
  <si>
    <t>RT0603BRD071KL</t>
  </si>
  <si>
    <r>
      <rPr>
        <sz val="11"/>
        <color rgb="FFFF0000"/>
        <rFont val="Calibri"/>
        <family val="2"/>
      </rPr>
      <t>R4,R10,R21</t>
    </r>
    <r>
      <rPr>
        <sz val="11"/>
        <color rgb="FF000000"/>
        <rFont val="Calibri"/>
        <family val="2"/>
      </rPr>
      <t>,</t>
    </r>
    <r>
      <rPr>
        <sz val="11"/>
        <color rgb="FFFF0000"/>
        <rFont val="Calibri"/>
        <family val="2"/>
      </rPr>
      <t>R29,R30</t>
    </r>
    <r>
      <rPr>
        <sz val="11"/>
        <color rgb="FF000000"/>
        <rFont val="Calibri"/>
        <family val="2"/>
      </rPr>
      <t>,</t>
    </r>
    <r>
      <rPr>
        <sz val="11"/>
        <color rgb="FFFF0000"/>
        <rFont val="Calibri"/>
        <family val="2"/>
      </rPr>
      <t>R39</t>
    </r>
    <r>
      <rPr>
        <sz val="11"/>
        <color rgb="FF000000"/>
        <rFont val="Calibri"/>
        <family val="2"/>
      </rPr>
      <t>,</t>
    </r>
    <r>
      <rPr>
        <sz val="11"/>
        <color rgb="FF00B0F0"/>
        <rFont val="Calibri"/>
        <family val="2"/>
      </rPr>
      <t>R58</t>
    </r>
  </si>
  <si>
    <t>1kΩ</t>
  </si>
  <si>
    <t>C110776</t>
  </si>
  <si>
    <t>R19</t>
  </si>
  <si>
    <t>10kΩ</t>
  </si>
  <si>
    <t>RT0603BRD075K1L</t>
  </si>
  <si>
    <t>R6,R7</t>
  </si>
  <si>
    <t>5.1kΩ</t>
  </si>
  <si>
    <t>C122969</t>
  </si>
  <si>
    <t>0603贴片电阻 5.1KΩ，优信</t>
  </si>
  <si>
    <t>https://item.taobao.com/item.htm?id=525833032129</t>
  </si>
  <si>
    <t>AC0603FR-0720KL</t>
  </si>
  <si>
    <t>R8</t>
  </si>
  <si>
    <t>R9</t>
  </si>
  <si>
    <t>1.8kΩ</t>
  </si>
  <si>
    <t>R8,R9,R56</t>
  </si>
  <si>
    <t>20kΩ</t>
  </si>
  <si>
    <t>C125934</t>
  </si>
  <si>
    <t>HoLTT0603-1/10W-10K-1%</t>
  </si>
  <si>
    <r>
      <rPr>
        <sz val="11"/>
        <color rgb="FFFF0000"/>
        <rFont val="Calibri"/>
        <family val="2"/>
      </rPr>
      <t>R13,R15,R16,R18,R22,R23,R24,R27,R40,R41,R44,R46,R51,R38,</t>
    </r>
    <r>
      <rPr>
        <sz val="11"/>
        <color rgb="FF00B0F0"/>
        <rFont val="Calibri"/>
        <family val="2"/>
      </rPr>
      <t>R59</t>
    </r>
  </si>
  <si>
    <t>Milliohm(毫欧)</t>
  </si>
  <si>
    <t>C2904526</t>
  </si>
  <si>
    <t>10kΩ 欧贝顿</t>
  </si>
  <si>
    <t>https://detail.tmall.com/item.htm?id=609909343101</t>
  </si>
  <si>
    <t>0603WAF100JT5E</t>
  </si>
  <si>
    <t>R20</t>
  </si>
  <si>
    <t>10Ω</t>
  </si>
  <si>
    <t>C22859</t>
  </si>
  <si>
    <t>0603WAF2203T5E</t>
  </si>
  <si>
    <t>R31</t>
  </si>
  <si>
    <t>220kΩ</t>
  </si>
  <si>
    <t>C22961</t>
  </si>
  <si>
    <t>0603WAF3002T5E</t>
  </si>
  <si>
    <t>R42</t>
  </si>
  <si>
    <t>30kΩ</t>
  </si>
  <si>
    <t>C22984</t>
  </si>
  <si>
    <t>HoLTT0603-1/10W-4.7K-1%</t>
  </si>
  <si>
    <r>
      <rPr>
        <sz val="11"/>
        <color rgb="FFFF0000"/>
        <rFont val="Calibri"/>
        <family val="2"/>
      </rPr>
      <t>R45</t>
    </r>
    <r>
      <rPr>
        <sz val="11"/>
        <color rgb="FF000000"/>
        <rFont val="Calibri"/>
        <family val="2"/>
      </rPr>
      <t>,</t>
    </r>
    <r>
      <rPr>
        <sz val="11"/>
        <color rgb="FF00B0F0"/>
        <rFont val="Calibri"/>
        <family val="2"/>
      </rPr>
      <t>R60</t>
    </r>
  </si>
  <si>
    <t>4.7kΩ</t>
  </si>
  <si>
    <t>C2904521</t>
  </si>
  <si>
    <t>SS8050_C2150</t>
  </si>
  <si>
    <t>Q11</t>
  </si>
  <si>
    <t>SOT-23-3_L2.9-W1.3-P1.90-LS2.4-BR</t>
  </si>
  <si>
    <t>C2150</t>
  </si>
  <si>
    <t>优信，NPN晶体管8050</t>
  </si>
  <si>
    <t>https://item.taobao.com/item.htm?spm=a1z10.3-c-s.0.0.4fa26a4bAjyH6P&amp;id=578801525423</t>
  </si>
  <si>
    <t>SS8550 Y2_C8542</t>
  </si>
  <si>
    <r>
      <rPr>
        <sz val="11"/>
        <color rgb="FFFF0000"/>
        <rFont val="Calibri"/>
        <family val="2"/>
      </rPr>
      <t>Q13</t>
    </r>
    <r>
      <rPr>
        <sz val="11"/>
        <color rgb="FF000000"/>
        <rFont val="Calibri"/>
        <family val="2"/>
      </rPr>
      <t>,</t>
    </r>
    <r>
      <rPr>
        <sz val="11"/>
        <color rgb="FF00B0F0"/>
        <rFont val="Calibri"/>
        <family val="2"/>
      </rPr>
      <t>Q3</t>
    </r>
  </si>
  <si>
    <t>SS8550 Y2</t>
  </si>
  <si>
    <t>C8542</t>
  </si>
  <si>
    <t>优信，NPN晶体管8550</t>
  </si>
  <si>
    <t>https://item.taobao.com/item.htm?spm=a1z10.3-c-s.0.0.58566a4bK5uUGd&amp;id=578801593981</t>
  </si>
  <si>
    <t>CH224K</t>
  </si>
  <si>
    <t>U8</t>
  </si>
  <si>
    <t>ESSOP10-EP</t>
  </si>
  <si>
    <t>CH224S</t>
  </si>
  <si>
    <t>南京沁恒微电子</t>
  </si>
  <si>
    <t>CH224K代替</t>
  </si>
  <si>
    <t>https://item.taobao.com/item.htm?abbucket=13&amp;id=700643271697</t>
  </si>
  <si>
    <t>R37</t>
  </si>
  <si>
    <t>3kΩ</t>
  </si>
  <si>
    <t>MP2459GJ-Z</t>
  </si>
  <si>
    <t>U1</t>
  </si>
  <si>
    <t>SOT23-6</t>
  </si>
  <si>
    <t>POWER-MP2459-SOT23-6</t>
  </si>
  <si>
    <t>C39578</t>
  </si>
  <si>
    <t>优信下架，在其他家买了10片</t>
  </si>
  <si>
    <t>AO3401A_C15127</t>
  </si>
  <si>
    <t>Q2</t>
  </si>
  <si>
    <t>SOT-23_L2.9-W1.3-P1.90-LS2.4-BR</t>
  </si>
  <si>
    <t>AO3401A</t>
  </si>
  <si>
    <t>C15127</t>
  </si>
  <si>
    <t>https://item.taobao.com/item.htm?spm=a1z0d.6639537/tb.0.0.5fc47484s1TtjS&amp;id=619514059506</t>
  </si>
  <si>
    <r>
      <rPr>
        <sz val="11"/>
        <color rgb="FF000000"/>
        <rFont val="宋体"/>
        <family val="3"/>
        <charset val="134"/>
      </rPr>
      <t>稳压管</t>
    </r>
    <r>
      <rPr>
        <sz val="11"/>
        <color rgb="FF000000"/>
        <rFont val="Calibri"/>
        <family val="2"/>
      </rPr>
      <t>24VSOD-123</t>
    </r>
  </si>
  <si>
    <t>D15</t>
  </si>
  <si>
    <t>SOD-123_L2.7-W1.6-LS3.8-RD</t>
  </si>
  <si>
    <t>C9900022347</t>
  </si>
  <si>
    <t>24V SOD-123稳压管</t>
  </si>
  <si>
    <t>https://detail.tmall.com/item.htm?abbucket=13&amp;id=637483951432&amp;ns=1&amp;spm=4707z.1.0.0.4df5523crEsJhI&amp;skuId=4582782673415</t>
  </si>
  <si>
    <r>
      <rPr>
        <sz val="11"/>
        <color rgb="FF000000"/>
        <rFont val="宋体"/>
        <family val="3"/>
        <charset val="134"/>
      </rPr>
      <t>稳压管4.7</t>
    </r>
    <r>
      <rPr>
        <sz val="11"/>
        <color rgb="FF000000"/>
        <rFont val="Calibri"/>
        <family val="2"/>
      </rPr>
      <t>VSOD-123</t>
    </r>
  </si>
  <si>
    <t>显示屏</t>
  </si>
  <si>
    <t>8Pin插接，尽量买瀚彩的</t>
  </si>
  <si>
    <t>https://item.taobao.com/item.htm?spm=a21n57.1.0.0.6f1b523caXsgcl&amp;id=672920375648&amp;ns=1&amp;abbucket=1#detail</t>
  </si>
  <si>
    <t>排线探针STM32</t>
  </si>
  <si>
    <t>需要购买</t>
  </si>
  <si>
    <t>已有或已购买</t>
  </si>
  <si>
    <t>价格</t>
  </si>
  <si>
    <t>数量</t>
  </si>
  <si>
    <t>单价</t>
  </si>
  <si>
    <t>震动开关，可以和螺纹头一起买</t>
    <phoneticPr fontId="9" type="noConversion"/>
  </si>
  <si>
    <t>https://m.tb.cn/h.5eQOchp?tk=zdQ9dy6hniw</t>
    <phoneticPr fontId="9" type="noConversion"/>
  </si>
  <si>
    <t>https://detail.tmall.com/item.htm?id=623734951234</t>
    <phoneticPr fontId="9" type="noConversion"/>
  </si>
  <si>
    <t>4.7V SOD-123稳压管 欧贝顿</t>
    <phoneticPr fontId="9" type="noConversion"/>
  </si>
  <si>
    <t>4.7uF,50V 欧贝顿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</si>
</sst>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charset val="134"/>
    </font>
    <font>
      <sz val="10"/>
      <color rgb="FF000000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1"/>
      <color rgb="FFFF0000"/>
      <name val="Calibri"/>
      <family val="2"/>
    </font>
    <font>
      <sz val="11"/>
      <color rgb="FF000000"/>
      <name val="宋体"/>
      <family val="3"/>
      <charset val="134"/>
    </font>
    <font>
      <u/>
      <sz val="11"/>
      <color rgb="FF800080"/>
      <name val="宋体"/>
      <family val="3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sz val="11"/>
      <color rgb="FF00B0F0"/>
      <name val="Calibri"/>
      <family val="2"/>
    </font>
    <font>
      <sz val="11"/>
      <color rgb="FF000000"/>
      <name val="Calibri"/>
      <family val="2"/>
    </font>
    <font>
      <sz val="9"/>
      <name val="Calibri"/>
      <family val="2"/>
    </font>
    <font>
      <sz val="10"/>
      <color rgb="FF000000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center"/>
    </xf>
  </cellStyleXfs>
  <cellXfs count="3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" borderId="0" xfId="0" applyFont="1" applyFill="1"/>
    <xf numFmtId="0" fontId="2" fillId="0" borderId="0" xfId="0" applyFont="1"/>
    <xf numFmtId="0" fontId="1" fillId="3" borderId="0" xfId="0" applyFont="1" applyFill="1"/>
    <xf numFmtId="0" fontId="0" fillId="0" borderId="1" xfId="0" applyBorder="1"/>
    <xf numFmtId="0" fontId="0" fillId="2" borderId="1" xfId="0" applyFill="1" applyBorder="1"/>
    <xf numFmtId="0" fontId="0" fillId="4" borderId="1" xfId="0" applyFill="1" applyBorder="1"/>
    <xf numFmtId="0" fontId="3" fillId="4" borderId="1" xfId="0" applyFont="1" applyFill="1" applyBorder="1"/>
    <xf numFmtId="49" fontId="0" fillId="0" borderId="1" xfId="0" applyNumberFormat="1" applyBorder="1"/>
    <xf numFmtId="0" fontId="0" fillId="3" borderId="1" xfId="0" applyFill="1" applyBorder="1"/>
    <xf numFmtId="0" fontId="0" fillId="4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3" fillId="2" borderId="1" xfId="0" applyFont="1" applyFill="1" applyBorder="1"/>
    <xf numFmtId="0" fontId="0" fillId="5" borderId="1" xfId="0" applyFill="1" applyBorder="1"/>
    <xf numFmtId="0" fontId="3" fillId="4" borderId="1" xfId="0" applyFont="1" applyFill="1" applyBorder="1" applyAlignment="1">
      <alignment wrapText="1"/>
    </xf>
    <xf numFmtId="0" fontId="0" fillId="6" borderId="1" xfId="0" applyFill="1" applyBorder="1"/>
    <xf numFmtId="0" fontId="4" fillId="0" borderId="1" xfId="0" applyFont="1" applyBorder="1"/>
    <xf numFmtId="0" fontId="4" fillId="4" borderId="1" xfId="0" applyFont="1" applyFill="1" applyBorder="1"/>
    <xf numFmtId="0" fontId="3" fillId="6" borderId="1" xfId="0" applyFont="1" applyFill="1" applyBorder="1"/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5" fillId="0" borderId="0" xfId="1" applyFont="1" applyAlignment="1"/>
    <xf numFmtId="0" fontId="6" fillId="0" borderId="0" xfId="1" applyAlignment="1"/>
    <xf numFmtId="0" fontId="1" fillId="6" borderId="0" xfId="0" applyFont="1" applyFill="1"/>
    <xf numFmtId="0" fontId="1" fillId="6" borderId="0" xfId="0" applyFont="1" applyFill="1" applyAlignment="1">
      <alignment wrapText="1"/>
    </xf>
    <xf numFmtId="0" fontId="1" fillId="7" borderId="0" xfId="0" applyFont="1" applyFill="1"/>
    <xf numFmtId="0" fontId="10" fillId="6" borderId="0" xfId="0" applyFont="1" applyFill="1"/>
    <xf numFmtId="0" fontId="10" fillId="3" borderId="0" xfId="0" applyFont="1" applyFill="1"/>
  </cellXfs>
  <cellStyles count="2">
    <cellStyle name="常规" xfId="0" builtinId="0"/>
    <cellStyle name="超链接" xfId="1" builtinId="8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item.taobao.com/item.htm?id=528141270044&amp;spm=a1z0d.6639537/tb.0.0.27277484bTl6kP" TargetMode="External"/><Relationship Id="rId18" Type="http://schemas.openxmlformats.org/officeDocument/2006/relationships/hyperlink" Target="https://item.taobao.com/item.htm?spm=a1z0d.6639537/tb.1997196601.4.1f087484fFlu7b&amp;id=618843925664" TargetMode="External"/><Relationship Id="rId26" Type="http://schemas.openxmlformats.org/officeDocument/2006/relationships/hyperlink" Target="https://item.taobao.com/item.htm?spm=2013.1.0.0.3ee9650dDdwQC2&amp;id=537706477476" TargetMode="External"/><Relationship Id="rId21" Type="http://schemas.openxmlformats.org/officeDocument/2006/relationships/hyperlink" Target="https://item.taobao.com/item.htm?id=548542180945&amp;spm=a1z0d.6639537/tb.0.0.611f74849vXGad&amp;skuId=5294043115920" TargetMode="External"/><Relationship Id="rId34" Type="http://schemas.openxmlformats.org/officeDocument/2006/relationships/hyperlink" Target="https://item.taobao.com/item.htm?id=537668686643" TargetMode="External"/><Relationship Id="rId7" Type="http://schemas.openxmlformats.org/officeDocument/2006/relationships/hyperlink" Target="https://item.taobao.com/item.htm?spm=a21n57.1.0.0.6f1b523caXsgcl&amp;id=672920375648&amp;ns=1&amp;abbucket=1" TargetMode="External"/><Relationship Id="rId12" Type="http://schemas.openxmlformats.org/officeDocument/2006/relationships/hyperlink" Target="https://item.taobao.com/item.htm?id=522554271548&amp;spm=a1z0d.6639537/tb.0.0.27277484KyGutC" TargetMode="External"/><Relationship Id="rId17" Type="http://schemas.openxmlformats.org/officeDocument/2006/relationships/hyperlink" Target="https://item.taobao.com/item.htm?spm=1383c.6639537/tb.1997196601.4.1e787484x6Iy7G&amp;id=522577964105" TargetMode="External"/><Relationship Id="rId25" Type="http://schemas.openxmlformats.org/officeDocument/2006/relationships/hyperlink" Target="https://item.taobao.com/item.htm?spm=a1z10.3-c-s.0.0.1bc76a4bZzsG1o&amp;id=560923686976" TargetMode="External"/><Relationship Id="rId33" Type="http://schemas.openxmlformats.org/officeDocument/2006/relationships/hyperlink" Target="https://item.taobao.com/item.htm?spm=a1z0d.7625083.0.0.5c5f4e69aZNryQ&amp;id=552629356951" TargetMode="External"/><Relationship Id="rId38" Type="http://schemas.openxmlformats.org/officeDocument/2006/relationships/hyperlink" Target="https://detail.tmall.com/item.htm?id=623734951234" TargetMode="External"/><Relationship Id="rId2" Type="http://schemas.openxmlformats.org/officeDocument/2006/relationships/hyperlink" Target="https://item.taobao.com/item.htm?spm=a1z10.3-c-s.w4002-24706531953.17.7b386a4bq3OhKP&amp;id=560131917314" TargetMode="External"/><Relationship Id="rId16" Type="http://schemas.openxmlformats.org/officeDocument/2006/relationships/hyperlink" Target="https://item.taobao.com/item.htm?spm=a1z0d.6639537/tb.1997196601.4.68637484VfPkh7&amp;id=522572158527" TargetMode="External"/><Relationship Id="rId20" Type="http://schemas.openxmlformats.org/officeDocument/2006/relationships/hyperlink" Target="https://item.taobao.com/item.htm?spm=a1z10.3-c-s.0.0.58566a4bK5uUGd&amp;id=578801593981" TargetMode="External"/><Relationship Id="rId29" Type="http://schemas.openxmlformats.org/officeDocument/2006/relationships/hyperlink" Target="https://item.taobao.com/item.htm?abbucket=13&amp;id=700643271697" TargetMode="External"/><Relationship Id="rId1" Type="http://schemas.openxmlformats.org/officeDocument/2006/relationships/hyperlink" Target="https://item.taobao.com/item.htm?spm=a1z10.3-c-s.w4002-24706531953.9.5a5d6a4bURrRhl&amp;id=537772527714" TargetMode="External"/><Relationship Id="rId6" Type="http://schemas.openxmlformats.org/officeDocument/2006/relationships/hyperlink" Target="https://item.taobao.com/item.htm?id=564164961306&amp;spm=a1z10.5-c-s.w4002-24706531925.9.362c44507QJPxA" TargetMode="External"/><Relationship Id="rId11" Type="http://schemas.openxmlformats.org/officeDocument/2006/relationships/hyperlink" Target="https://item.taobao.com/item.htm?id=522573101897&amp;spm=a1z0d.6639537/tb.1997196601.4.27277484KyGutC" TargetMode="External"/><Relationship Id="rId24" Type="http://schemas.openxmlformats.org/officeDocument/2006/relationships/hyperlink" Target="https://item.taobao.com/item.htm?spm=a1z10.3-c-s.0.0.6e646a4bgTPovz&amp;id=624959605211" TargetMode="External"/><Relationship Id="rId32" Type="http://schemas.openxmlformats.org/officeDocument/2006/relationships/hyperlink" Target="https://item.taobao.com/item.htm?id=522574162326&amp;spm=a1z0d.6639537/tb.0.0.51f07484bKW9mA" TargetMode="External"/><Relationship Id="rId37" Type="http://schemas.openxmlformats.org/officeDocument/2006/relationships/hyperlink" Target="https://m.tb.cn/h.5eQOchp?tk=zdQ9dy6hniw" TargetMode="External"/><Relationship Id="rId5" Type="http://schemas.openxmlformats.org/officeDocument/2006/relationships/hyperlink" Target="https://item.taobao.com/item.htm?spm=a1z10.3-c-s.w4002-24706531953.9.461b6a4buoaPJa&amp;id=573090887123" TargetMode="External"/><Relationship Id="rId15" Type="http://schemas.openxmlformats.org/officeDocument/2006/relationships/hyperlink" Target="https://item.taobao.com/item.htm?spm=3390d.1.0.0.47f5523chj4pFd&amp;id=743621689966&amp;ns=1&amp;abbucket=13" TargetMode="External"/><Relationship Id="rId23" Type="http://schemas.openxmlformats.org/officeDocument/2006/relationships/hyperlink" Target="https://item.taobao.com/item.htm?id=584393111191" TargetMode="External"/><Relationship Id="rId28" Type="http://schemas.openxmlformats.org/officeDocument/2006/relationships/hyperlink" Target="https://item.taobao.com/item.htm?id=525833032129" TargetMode="External"/><Relationship Id="rId36" Type="http://schemas.openxmlformats.org/officeDocument/2006/relationships/hyperlink" Target="https://detail.tmall.com/item.htm?id=609909343101" TargetMode="External"/><Relationship Id="rId10" Type="http://schemas.openxmlformats.org/officeDocument/2006/relationships/hyperlink" Target="https://detail.tmall.com/item.htm?id=624944749957&amp;spm=a1z0d.6639537/tb.0.0.d7547484Y0O3fy" TargetMode="External"/><Relationship Id="rId19" Type="http://schemas.openxmlformats.org/officeDocument/2006/relationships/hyperlink" Target="https://item.taobao.com/item.htm?spm=a1z10.3-c-s.0.0.4fa26a4bAjyH6P&amp;id=578801525423" TargetMode="External"/><Relationship Id="rId31" Type="http://schemas.openxmlformats.org/officeDocument/2006/relationships/hyperlink" Target="https://detail.tmall.com/item.htm?abbucket=13&amp;id=637483951432&amp;ns=1&amp;spm=4707z.1.0.0.4df5523crEsJhI&amp;skuId=4582782673415" TargetMode="External"/><Relationship Id="rId4" Type="http://schemas.openxmlformats.org/officeDocument/2006/relationships/hyperlink" Target="https://item.taobao.com/item.htm?spm=a1z10.3-c-s.w4002-24706531953.9.51716a4bfGJ2Oe&amp;id=556098727646" TargetMode="External"/><Relationship Id="rId9" Type="http://schemas.openxmlformats.org/officeDocument/2006/relationships/hyperlink" Target="https://item.taobao.com/item.htm?spm=a21n57.1.0.0.1e0f523clQzC7S&amp;id=746395847698&amp;ns=1&amp;abbucket=1" TargetMode="External"/><Relationship Id="rId14" Type="http://schemas.openxmlformats.org/officeDocument/2006/relationships/hyperlink" Target="https://item.taobao.com/item.htm?id=528141270044&amp;spm=a1z0d.6639537/tb.0.0.27277484bTl6kP" TargetMode="External"/><Relationship Id="rId22" Type="http://schemas.openxmlformats.org/officeDocument/2006/relationships/hyperlink" Target="https://item.taobao.com/item.htm?id=676775991179" TargetMode="External"/><Relationship Id="rId27" Type="http://schemas.openxmlformats.org/officeDocument/2006/relationships/hyperlink" Target="https://item.taobao.com/item.htm?spm=a1z10.3-c-s.0.0.3df76a4bqQOhGd&amp;id=537656646135" TargetMode="External"/><Relationship Id="rId30" Type="http://schemas.openxmlformats.org/officeDocument/2006/relationships/hyperlink" Target="https://item.taobao.com/item.htm?spm=a1z0d.6639537/tb.0.0.5fc47484s1TtjS&amp;id=619514059506" TargetMode="External"/><Relationship Id="rId35" Type="http://schemas.openxmlformats.org/officeDocument/2006/relationships/hyperlink" Target="https://item.taobao.com/item.htm?spm=2013.1.0.0.3ee9650dDdwQC2&amp;id=537706477476" TargetMode="External"/><Relationship Id="rId8" Type="http://schemas.openxmlformats.org/officeDocument/2006/relationships/hyperlink" Target="https://item.taobao.com/item.htm?abbucket=1&amp;id=674042910084&amp;ns=1&amp;skuId=4851289500636&amp;spm=a21n57.1.0.0.632f523cAJTwwF" TargetMode="External"/><Relationship Id="rId3" Type="http://schemas.openxmlformats.org/officeDocument/2006/relationships/hyperlink" Target="https://item.taobao.com/item.htm?spm=a1z10.3-c-s.w4002-24706531953.16.2af26a4bPmy3Lc&amp;id=5466902845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59"/>
  <sheetViews>
    <sheetView tabSelected="1" topLeftCell="A7" zoomScaleNormal="100" workbookViewId="0">
      <selection activeCell="F19" sqref="F19"/>
    </sheetView>
  </sheetViews>
  <sheetFormatPr defaultColWidth="9" defaultRowHeight="14.4" x14ac:dyDescent="0.3"/>
  <cols>
    <col min="1" max="1" width="4.109375" customWidth="1"/>
    <col min="2" max="2" width="9.33203125" customWidth="1"/>
    <col min="3" max="3" width="38.44140625" customWidth="1"/>
    <col min="4" max="4" width="27.44140625" customWidth="1"/>
    <col min="5" max="5" width="33.109375" customWidth="1"/>
    <col min="6" max="6" width="27.88671875" customWidth="1"/>
    <col min="7" max="7" width="41" customWidth="1"/>
    <col min="8" max="8" width="18.33203125" customWidth="1"/>
    <col min="9" max="9" width="13.44140625" customWidth="1"/>
    <col min="10" max="10" width="23.88671875" style="1" customWidth="1"/>
  </cols>
  <sheetData>
    <row r="1" spans="1:1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22" t="s">
        <v>9</v>
      </c>
    </row>
    <row r="2" spans="1:11" ht="15" x14ac:dyDescent="0.3">
      <c r="A2" s="6">
        <v>1</v>
      </c>
      <c r="B2" s="6">
        <v>2</v>
      </c>
      <c r="C2" s="17" t="s">
        <v>10</v>
      </c>
      <c r="D2" s="7" t="s">
        <v>11</v>
      </c>
      <c r="E2" s="8" t="s">
        <v>12</v>
      </c>
      <c r="F2" s="8" t="s">
        <v>13</v>
      </c>
      <c r="G2" s="8" t="s">
        <v>10</v>
      </c>
      <c r="H2" s="8" t="s">
        <v>14</v>
      </c>
      <c r="I2" s="6" t="s">
        <v>15</v>
      </c>
      <c r="J2" s="25" t="s">
        <v>16</v>
      </c>
      <c r="K2" s="23" t="s">
        <v>17</v>
      </c>
    </row>
    <row r="3" spans="1:11" ht="25.8" x14ac:dyDescent="0.3">
      <c r="A3" s="6">
        <v>1</v>
      </c>
      <c r="B3" s="6">
        <v>1</v>
      </c>
      <c r="C3" s="6" t="s">
        <v>18</v>
      </c>
      <c r="D3" s="7" t="s">
        <v>19</v>
      </c>
      <c r="E3" s="8" t="s">
        <v>20</v>
      </c>
      <c r="F3" s="8" t="s">
        <v>21</v>
      </c>
      <c r="G3" s="8" t="s">
        <v>18</v>
      </c>
      <c r="H3" s="8" t="s">
        <v>22</v>
      </c>
      <c r="I3" s="6" t="s">
        <v>23</v>
      </c>
      <c r="J3" s="26" t="s">
        <v>24</v>
      </c>
      <c r="K3" s="23" t="s">
        <v>25</v>
      </c>
    </row>
    <row r="4" spans="1:11" ht="15" x14ac:dyDescent="0.3">
      <c r="A4" s="6">
        <v>1</v>
      </c>
      <c r="B4" s="6">
        <v>1</v>
      </c>
      <c r="C4" s="6" t="s">
        <v>26</v>
      </c>
      <c r="D4" s="7" t="s">
        <v>27</v>
      </c>
      <c r="E4" s="8" t="s">
        <v>28</v>
      </c>
      <c r="F4" s="8" t="s">
        <v>29</v>
      </c>
      <c r="G4" s="8" t="s">
        <v>30</v>
      </c>
      <c r="H4" s="8" t="s">
        <v>31</v>
      </c>
      <c r="I4" s="6" t="s">
        <v>32</v>
      </c>
      <c r="J4" s="27" t="s">
        <v>16</v>
      </c>
      <c r="K4" s="23" t="s">
        <v>33</v>
      </c>
    </row>
    <row r="5" spans="1:11" ht="15" x14ac:dyDescent="0.3">
      <c r="A5" s="6">
        <v>1</v>
      </c>
      <c r="B5" s="6">
        <v>3</v>
      </c>
      <c r="C5" s="6" t="s">
        <v>34</v>
      </c>
      <c r="D5" s="7" t="s">
        <v>35</v>
      </c>
      <c r="E5" s="9" t="s">
        <v>36</v>
      </c>
      <c r="F5" s="8" t="s">
        <v>37</v>
      </c>
      <c r="G5" s="8" t="s">
        <v>34</v>
      </c>
      <c r="H5" s="8" t="s">
        <v>38</v>
      </c>
      <c r="I5" s="6" t="s">
        <v>39</v>
      </c>
      <c r="J5" s="27" t="s">
        <v>40</v>
      </c>
      <c r="K5" s="23" t="s">
        <v>41</v>
      </c>
    </row>
    <row r="6" spans="1:11" ht="15" x14ac:dyDescent="0.3">
      <c r="A6" s="6">
        <v>1</v>
      </c>
      <c r="B6" s="6">
        <v>1</v>
      </c>
      <c r="C6" s="6" t="s">
        <v>34</v>
      </c>
      <c r="D6" s="7" t="s">
        <v>42</v>
      </c>
      <c r="E6" s="9" t="s">
        <v>36</v>
      </c>
      <c r="F6" s="8" t="s">
        <v>43</v>
      </c>
      <c r="G6" s="8" t="s">
        <v>34</v>
      </c>
      <c r="H6" s="8" t="s">
        <v>38</v>
      </c>
      <c r="I6" s="6"/>
      <c r="J6" s="27" t="s">
        <v>44</v>
      </c>
      <c r="K6" s="24" t="s">
        <v>45</v>
      </c>
    </row>
    <row r="7" spans="1:11" ht="15" x14ac:dyDescent="0.3">
      <c r="A7" s="6">
        <v>1</v>
      </c>
      <c r="B7" s="6">
        <v>1</v>
      </c>
      <c r="C7" s="6" t="s">
        <v>46</v>
      </c>
      <c r="D7" s="7" t="s">
        <v>47</v>
      </c>
      <c r="E7" s="8" t="s">
        <v>28</v>
      </c>
      <c r="F7" s="8" t="s">
        <v>48</v>
      </c>
      <c r="G7" s="8" t="s">
        <v>49</v>
      </c>
      <c r="H7" s="8" t="s">
        <v>50</v>
      </c>
      <c r="I7" s="6" t="s">
        <v>51</v>
      </c>
      <c r="J7" s="27" t="s">
        <v>16</v>
      </c>
      <c r="K7" s="23" t="s">
        <v>52</v>
      </c>
    </row>
    <row r="8" spans="1:11" ht="15" x14ac:dyDescent="0.3">
      <c r="A8" s="6">
        <v>1</v>
      </c>
      <c r="B8" s="6">
        <v>1</v>
      </c>
      <c r="C8" s="6" t="s">
        <v>46</v>
      </c>
      <c r="D8" s="7" t="s">
        <v>53</v>
      </c>
      <c r="E8" s="8" t="s">
        <v>28</v>
      </c>
      <c r="F8" s="8" t="s">
        <v>54</v>
      </c>
      <c r="G8" s="8" t="s">
        <v>49</v>
      </c>
      <c r="H8" s="8" t="s">
        <v>55</v>
      </c>
      <c r="I8" s="6" t="s">
        <v>51</v>
      </c>
      <c r="J8" s="27" t="s">
        <v>16</v>
      </c>
      <c r="K8" s="23" t="s">
        <v>52</v>
      </c>
    </row>
    <row r="9" spans="1:11" ht="15" x14ac:dyDescent="0.3">
      <c r="A9" s="6">
        <v>1</v>
      </c>
      <c r="B9" s="6">
        <v>1</v>
      </c>
      <c r="C9" s="6" t="s">
        <v>56</v>
      </c>
      <c r="D9" s="6" t="s">
        <v>57</v>
      </c>
      <c r="E9" s="8" t="s">
        <v>58</v>
      </c>
      <c r="F9" s="8" t="s">
        <v>59</v>
      </c>
      <c r="G9" s="8" t="s">
        <v>56</v>
      </c>
      <c r="H9" s="8"/>
      <c r="I9" s="6" t="s">
        <v>60</v>
      </c>
      <c r="J9" s="2" t="s">
        <v>61</v>
      </c>
      <c r="K9" s="24" t="s">
        <v>62</v>
      </c>
    </row>
    <row r="10" spans="1:11" ht="25.8" x14ac:dyDescent="0.3">
      <c r="A10" s="6">
        <v>1</v>
      </c>
      <c r="B10" s="6">
        <v>1</v>
      </c>
      <c r="C10" s="6" t="s">
        <v>63</v>
      </c>
      <c r="D10" s="7" t="s">
        <v>64</v>
      </c>
      <c r="E10" s="8" t="s">
        <v>65</v>
      </c>
      <c r="F10" s="8" t="s">
        <v>65</v>
      </c>
      <c r="G10" s="8" t="s">
        <v>66</v>
      </c>
      <c r="H10" s="8"/>
      <c r="I10" s="6" t="s">
        <v>67</v>
      </c>
      <c r="J10" s="26" t="s">
        <v>68</v>
      </c>
      <c r="K10" s="23" t="s">
        <v>69</v>
      </c>
    </row>
    <row r="11" spans="1:11" ht="15" x14ac:dyDescent="0.3">
      <c r="A11" s="6">
        <v>1</v>
      </c>
      <c r="B11" s="6">
        <v>1</v>
      </c>
      <c r="C11" s="6" t="s">
        <v>70</v>
      </c>
      <c r="D11" s="6" t="s">
        <v>71</v>
      </c>
      <c r="E11" s="8" t="s">
        <v>72</v>
      </c>
      <c r="F11" s="8" t="s">
        <v>73</v>
      </c>
      <c r="G11" s="8" t="s">
        <v>70</v>
      </c>
      <c r="H11" s="8" t="s">
        <v>74</v>
      </c>
      <c r="I11" s="6" t="s">
        <v>75</v>
      </c>
      <c r="J11" s="1" t="s">
        <v>76</v>
      </c>
      <c r="K11" s="24" t="s">
        <v>77</v>
      </c>
    </row>
    <row r="12" spans="1:11" ht="15" x14ac:dyDescent="0.3">
      <c r="A12" s="6">
        <v>1</v>
      </c>
      <c r="B12" s="6">
        <v>4</v>
      </c>
      <c r="C12" s="6" t="s">
        <v>78</v>
      </c>
      <c r="D12" s="7" t="s">
        <v>79</v>
      </c>
      <c r="E12" s="8" t="s">
        <v>80</v>
      </c>
      <c r="F12" s="8" t="s">
        <v>81</v>
      </c>
      <c r="G12" s="8"/>
      <c r="H12" s="8"/>
      <c r="I12" s="6"/>
      <c r="J12" s="1" t="s">
        <v>82</v>
      </c>
      <c r="K12" s="23" t="s">
        <v>83</v>
      </c>
    </row>
    <row r="13" spans="1:11" ht="15" x14ac:dyDescent="0.3">
      <c r="A13" s="6">
        <v>1</v>
      </c>
      <c r="B13" s="6">
        <v>1</v>
      </c>
      <c r="C13" s="10">
        <v>5020</v>
      </c>
      <c r="D13" s="7" t="s">
        <v>84</v>
      </c>
      <c r="E13" s="11" t="s">
        <v>85</v>
      </c>
      <c r="F13" s="11" t="s">
        <v>86</v>
      </c>
      <c r="G13" s="11" t="s">
        <v>87</v>
      </c>
      <c r="H13" s="11" t="s">
        <v>88</v>
      </c>
      <c r="I13" s="6" t="s">
        <v>89</v>
      </c>
      <c r="J13" s="5" t="s">
        <v>90</v>
      </c>
      <c r="K13" s="23" t="s">
        <v>91</v>
      </c>
    </row>
    <row r="14" spans="1:11" ht="15" x14ac:dyDescent="0.3">
      <c r="A14" s="6">
        <v>1</v>
      </c>
      <c r="B14" s="6">
        <v>1</v>
      </c>
      <c r="C14" s="6" t="s">
        <v>92</v>
      </c>
      <c r="D14" s="7" t="s">
        <v>93</v>
      </c>
      <c r="E14" s="8" t="s">
        <v>94</v>
      </c>
      <c r="F14" s="8" t="s">
        <v>95</v>
      </c>
      <c r="G14" s="8" t="s">
        <v>96</v>
      </c>
      <c r="H14" s="8" t="s">
        <v>97</v>
      </c>
      <c r="I14" s="6"/>
      <c r="J14" s="5" t="s">
        <v>98</v>
      </c>
      <c r="K14" s="23" t="s">
        <v>99</v>
      </c>
    </row>
    <row r="15" spans="1:11" ht="15" x14ac:dyDescent="0.3">
      <c r="A15" s="6">
        <v>1</v>
      </c>
      <c r="B15" s="6">
        <v>1</v>
      </c>
      <c r="C15" s="6" t="s">
        <v>100</v>
      </c>
      <c r="D15" s="6" t="s">
        <v>101</v>
      </c>
      <c r="E15" s="8" t="s">
        <v>102</v>
      </c>
      <c r="F15" s="8" t="s">
        <v>100</v>
      </c>
      <c r="G15" s="8" t="s">
        <v>100</v>
      </c>
      <c r="H15" s="8" t="s">
        <v>103</v>
      </c>
      <c r="I15" s="6" t="s">
        <v>104</v>
      </c>
      <c r="J15" s="27" t="s">
        <v>105</v>
      </c>
      <c r="K15" s="23" t="s">
        <v>106</v>
      </c>
    </row>
    <row r="16" spans="1:11" ht="15" x14ac:dyDescent="0.3">
      <c r="A16" s="6"/>
      <c r="B16" s="6"/>
      <c r="C16" s="6"/>
      <c r="D16" s="7" t="s">
        <v>101</v>
      </c>
      <c r="E16" s="8"/>
      <c r="F16" s="8" t="s">
        <v>107</v>
      </c>
      <c r="G16" s="8"/>
      <c r="H16" s="8"/>
      <c r="I16" s="6"/>
      <c r="J16" s="27"/>
      <c r="K16" s="23"/>
    </row>
    <row r="17" spans="1:11" ht="15" x14ac:dyDescent="0.3">
      <c r="A17" s="6">
        <v>1</v>
      </c>
      <c r="B17" s="6">
        <v>1</v>
      </c>
      <c r="C17" s="6" t="s">
        <v>108</v>
      </c>
      <c r="D17" s="7" t="s">
        <v>109</v>
      </c>
      <c r="E17" s="8" t="s">
        <v>110</v>
      </c>
      <c r="F17" s="8" t="s">
        <v>108</v>
      </c>
      <c r="G17" s="8" t="s">
        <v>108</v>
      </c>
      <c r="H17" s="8" t="s">
        <v>111</v>
      </c>
      <c r="I17" s="6" t="s">
        <v>112</v>
      </c>
      <c r="J17" s="5" t="s">
        <v>113</v>
      </c>
      <c r="K17" s="23" t="s">
        <v>114</v>
      </c>
    </row>
    <row r="18" spans="1:11" ht="15" x14ac:dyDescent="0.3">
      <c r="A18" s="6">
        <v>1</v>
      </c>
      <c r="B18" s="6">
        <v>1</v>
      </c>
      <c r="C18" s="6" t="s">
        <v>115</v>
      </c>
      <c r="D18" s="7" t="s">
        <v>116</v>
      </c>
      <c r="E18" s="8" t="s">
        <v>117</v>
      </c>
      <c r="F18" s="6" t="s">
        <v>115</v>
      </c>
      <c r="G18" s="8" t="s">
        <v>115</v>
      </c>
      <c r="H18" s="8" t="s">
        <v>118</v>
      </c>
      <c r="I18" s="6" t="s">
        <v>119</v>
      </c>
      <c r="J18" s="25" t="s">
        <v>120</v>
      </c>
      <c r="K18" s="23" t="s">
        <v>121</v>
      </c>
    </row>
    <row r="19" spans="1:11" ht="28.8" x14ac:dyDescent="0.3">
      <c r="A19" s="6">
        <v>1</v>
      </c>
      <c r="B19" s="6">
        <v>1</v>
      </c>
      <c r="C19" s="6" t="s">
        <v>122</v>
      </c>
      <c r="D19" s="7" t="s">
        <v>123</v>
      </c>
      <c r="E19" s="8" t="s">
        <v>124</v>
      </c>
      <c r="F19" s="8" t="s">
        <v>124</v>
      </c>
      <c r="G19" s="8" t="s">
        <v>122</v>
      </c>
      <c r="H19" s="12" t="s">
        <v>125</v>
      </c>
      <c r="I19" s="6" t="s">
        <v>126</v>
      </c>
      <c r="J19" s="28" t="s">
        <v>315</v>
      </c>
      <c r="K19" s="23" t="s">
        <v>128</v>
      </c>
    </row>
    <row r="20" spans="1:11" ht="15" x14ac:dyDescent="0.3">
      <c r="A20" s="6">
        <v>1</v>
      </c>
      <c r="B20" s="6">
        <v>3</v>
      </c>
      <c r="C20" s="6" t="s">
        <v>129</v>
      </c>
      <c r="D20" s="7" t="s">
        <v>130</v>
      </c>
      <c r="E20" s="8" t="s">
        <v>131</v>
      </c>
      <c r="F20" s="8" t="s">
        <v>132</v>
      </c>
      <c r="G20" s="8" t="s">
        <v>129</v>
      </c>
      <c r="H20" s="8" t="s">
        <v>133</v>
      </c>
      <c r="I20" s="6" t="s">
        <v>134</v>
      </c>
      <c r="J20" s="5" t="s">
        <v>135</v>
      </c>
      <c r="K20" s="23" t="s">
        <v>136</v>
      </c>
    </row>
    <row r="21" spans="1:11" ht="15" x14ac:dyDescent="0.3">
      <c r="A21" s="6">
        <v>1</v>
      </c>
      <c r="B21" s="8">
        <v>1</v>
      </c>
      <c r="C21" s="8" t="s">
        <v>137</v>
      </c>
      <c r="D21" s="8" t="s">
        <v>138</v>
      </c>
      <c r="E21" s="8" t="s">
        <v>139</v>
      </c>
      <c r="F21" s="8" t="s">
        <v>140</v>
      </c>
      <c r="G21" s="8" t="s">
        <v>141</v>
      </c>
      <c r="H21" s="6"/>
      <c r="I21" s="6" t="s">
        <v>142</v>
      </c>
      <c r="J21" s="25" t="s">
        <v>143</v>
      </c>
      <c r="K21" s="23" t="s">
        <v>144</v>
      </c>
    </row>
    <row r="22" spans="1:11" ht="15" x14ac:dyDescent="0.3">
      <c r="A22" s="6">
        <v>1</v>
      </c>
      <c r="B22" s="6">
        <v>1</v>
      </c>
      <c r="C22" s="6" t="s">
        <v>145</v>
      </c>
      <c r="D22" s="7" t="s">
        <v>146</v>
      </c>
      <c r="E22" s="8" t="s">
        <v>147</v>
      </c>
      <c r="F22" s="8" t="s">
        <v>148</v>
      </c>
      <c r="G22" s="8"/>
      <c r="H22" s="8"/>
      <c r="I22" s="8"/>
      <c r="J22" s="5" t="s">
        <v>149</v>
      </c>
      <c r="K22" s="23" t="s">
        <v>150</v>
      </c>
    </row>
    <row r="23" spans="1:11" ht="15" x14ac:dyDescent="0.3">
      <c r="A23" s="6">
        <v>1</v>
      </c>
      <c r="B23" s="6">
        <v>1</v>
      </c>
      <c r="C23" s="6" t="s">
        <v>151</v>
      </c>
      <c r="D23" s="7" t="s">
        <v>152</v>
      </c>
      <c r="E23" s="8" t="s">
        <v>153</v>
      </c>
      <c r="F23" s="8" t="s">
        <v>151</v>
      </c>
      <c r="G23" s="8" t="s">
        <v>151</v>
      </c>
      <c r="H23" s="8"/>
      <c r="I23" s="6" t="s">
        <v>154</v>
      </c>
      <c r="J23" s="25" t="s">
        <v>16</v>
      </c>
      <c r="K23" s="23" t="s">
        <v>155</v>
      </c>
    </row>
    <row r="24" spans="1:11" ht="15" x14ac:dyDescent="0.3">
      <c r="A24" s="6">
        <v>1</v>
      </c>
      <c r="B24" s="6">
        <v>1</v>
      </c>
      <c r="C24" s="6" t="s">
        <v>156</v>
      </c>
      <c r="D24" s="7" t="s">
        <v>157</v>
      </c>
      <c r="E24" s="8" t="s">
        <v>158</v>
      </c>
      <c r="F24" s="8" t="s">
        <v>159</v>
      </c>
      <c r="G24" s="8"/>
      <c r="H24" s="8"/>
      <c r="I24" s="6"/>
      <c r="J24" s="25" t="s">
        <v>160</v>
      </c>
      <c r="K24" s="23" t="s">
        <v>161</v>
      </c>
    </row>
    <row r="25" spans="1:11" ht="15" x14ac:dyDescent="0.3">
      <c r="A25" s="6">
        <v>1</v>
      </c>
      <c r="B25" s="8">
        <v>1</v>
      </c>
      <c r="C25" s="8" t="s">
        <v>162</v>
      </c>
      <c r="D25" s="8" t="s">
        <v>163</v>
      </c>
      <c r="E25" s="8" t="s">
        <v>164</v>
      </c>
      <c r="F25" s="8" t="s">
        <v>165</v>
      </c>
      <c r="G25" s="8" t="s">
        <v>162</v>
      </c>
      <c r="H25" s="6"/>
      <c r="I25" s="6" t="s">
        <v>166</v>
      </c>
      <c r="J25" s="27" t="s">
        <v>16</v>
      </c>
      <c r="K25" s="23" t="s">
        <v>167</v>
      </c>
    </row>
    <row r="26" spans="1:11" ht="28.8" x14ac:dyDescent="0.3">
      <c r="A26" s="6">
        <v>1</v>
      </c>
      <c r="B26" s="6">
        <v>15</v>
      </c>
      <c r="C26" s="6" t="s">
        <v>168</v>
      </c>
      <c r="D26" s="13" t="s">
        <v>169</v>
      </c>
      <c r="E26" s="8" t="s">
        <v>170</v>
      </c>
      <c r="F26" s="8" t="s">
        <v>171</v>
      </c>
      <c r="G26" s="8" t="s">
        <v>168</v>
      </c>
      <c r="H26" s="8" t="s">
        <v>172</v>
      </c>
      <c r="I26" s="6" t="s">
        <v>173</v>
      </c>
      <c r="J26" s="25" t="s">
        <v>174</v>
      </c>
    </row>
    <row r="27" spans="1:11" ht="15" x14ac:dyDescent="0.3">
      <c r="A27" s="6">
        <v>1</v>
      </c>
      <c r="B27" s="6">
        <v>1</v>
      </c>
      <c r="C27" s="6" t="s">
        <v>175</v>
      </c>
      <c r="D27" s="7" t="s">
        <v>176</v>
      </c>
      <c r="E27" s="8" t="s">
        <v>170</v>
      </c>
      <c r="F27" s="8" t="s">
        <v>177</v>
      </c>
      <c r="G27" s="8" t="s">
        <v>175</v>
      </c>
      <c r="H27" s="8" t="s">
        <v>14</v>
      </c>
      <c r="I27" s="6" t="s">
        <v>178</v>
      </c>
      <c r="J27" s="25" t="s">
        <v>179</v>
      </c>
      <c r="K27" s="23" t="s">
        <v>180</v>
      </c>
    </row>
    <row r="28" spans="1:11" ht="15" x14ac:dyDescent="0.3">
      <c r="A28" s="6">
        <v>1</v>
      </c>
      <c r="B28" s="6">
        <v>2</v>
      </c>
      <c r="C28" s="6" t="s">
        <v>181</v>
      </c>
      <c r="D28" s="7" t="s">
        <v>182</v>
      </c>
      <c r="E28" s="8" t="s">
        <v>170</v>
      </c>
      <c r="F28" s="8" t="s">
        <v>183</v>
      </c>
      <c r="G28" s="8" t="s">
        <v>181</v>
      </c>
      <c r="H28" s="8" t="s">
        <v>14</v>
      </c>
      <c r="I28" s="6" t="s">
        <v>184</v>
      </c>
      <c r="J28" s="25" t="s">
        <v>185</v>
      </c>
      <c r="K28" s="23" t="s">
        <v>186</v>
      </c>
    </row>
    <row r="29" spans="1:11" ht="15" x14ac:dyDescent="0.3">
      <c r="A29" s="6">
        <v>1</v>
      </c>
      <c r="B29" s="6">
        <v>1</v>
      </c>
      <c r="C29" s="6" t="s">
        <v>187</v>
      </c>
      <c r="D29" s="7" t="s">
        <v>188</v>
      </c>
      <c r="E29" s="8" t="s">
        <v>170</v>
      </c>
      <c r="F29" s="8" t="s">
        <v>189</v>
      </c>
      <c r="G29" s="8" t="s">
        <v>187</v>
      </c>
      <c r="H29" s="8" t="s">
        <v>14</v>
      </c>
      <c r="I29" s="6" t="s">
        <v>190</v>
      </c>
      <c r="J29" s="29" t="s">
        <v>319</v>
      </c>
      <c r="K29" s="23" t="s">
        <v>192</v>
      </c>
    </row>
    <row r="30" spans="1:11" ht="15" x14ac:dyDescent="0.3">
      <c r="A30" s="6">
        <v>1</v>
      </c>
      <c r="B30" s="6">
        <v>2</v>
      </c>
      <c r="C30" s="6" t="s">
        <v>193</v>
      </c>
      <c r="D30" s="7" t="s">
        <v>194</v>
      </c>
      <c r="E30" s="8" t="s">
        <v>170</v>
      </c>
      <c r="F30" s="8" t="s">
        <v>195</v>
      </c>
      <c r="G30" s="8" t="s">
        <v>193</v>
      </c>
      <c r="H30" s="8" t="s">
        <v>14</v>
      </c>
      <c r="I30" s="6" t="s">
        <v>196</v>
      </c>
      <c r="J30" s="25" t="s">
        <v>197</v>
      </c>
      <c r="K30" s="23" t="s">
        <v>198</v>
      </c>
    </row>
    <row r="31" spans="1:11" ht="15" x14ac:dyDescent="0.3">
      <c r="A31" s="6">
        <v>1</v>
      </c>
      <c r="B31" s="6">
        <v>2</v>
      </c>
      <c r="C31" s="6" t="s">
        <v>199</v>
      </c>
      <c r="D31" s="7" t="s">
        <v>200</v>
      </c>
      <c r="E31" s="8" t="s">
        <v>170</v>
      </c>
      <c r="F31" s="8" t="s">
        <v>201</v>
      </c>
      <c r="G31" s="8" t="s">
        <v>199</v>
      </c>
      <c r="H31" s="8" t="s">
        <v>14</v>
      </c>
      <c r="I31" s="6" t="s">
        <v>202</v>
      </c>
      <c r="J31" s="27" t="s">
        <v>203</v>
      </c>
      <c r="K31" s="23" t="s">
        <v>192</v>
      </c>
    </row>
    <row r="32" spans="1:11" x14ac:dyDescent="0.3">
      <c r="A32" s="6">
        <v>1</v>
      </c>
      <c r="B32" s="6">
        <v>4</v>
      </c>
      <c r="C32" s="6" t="s">
        <v>204</v>
      </c>
      <c r="D32" s="7" t="s">
        <v>205</v>
      </c>
      <c r="E32" s="8" t="s">
        <v>117</v>
      </c>
      <c r="F32" s="8" t="s">
        <v>206</v>
      </c>
      <c r="G32" s="8" t="s">
        <v>204</v>
      </c>
      <c r="H32" s="8" t="s">
        <v>207</v>
      </c>
      <c r="I32" s="6" t="s">
        <v>208</v>
      </c>
      <c r="J32" s="25" t="s">
        <v>209</v>
      </c>
    </row>
    <row r="33" spans="1:11" x14ac:dyDescent="0.3">
      <c r="A33" s="6">
        <v>1</v>
      </c>
      <c r="B33" s="6">
        <v>2</v>
      </c>
      <c r="C33" s="6" t="s">
        <v>210</v>
      </c>
      <c r="D33" s="6" t="s">
        <v>211</v>
      </c>
      <c r="E33" s="8" t="s">
        <v>117</v>
      </c>
      <c r="F33" s="8" t="s">
        <v>212</v>
      </c>
      <c r="G33" s="8" t="s">
        <v>210</v>
      </c>
      <c r="H33" s="8" t="s">
        <v>207</v>
      </c>
      <c r="I33" s="6" t="s">
        <v>213</v>
      </c>
      <c r="J33" s="25" t="s">
        <v>214</v>
      </c>
    </row>
    <row r="34" spans="1:11" x14ac:dyDescent="0.3">
      <c r="A34" s="6"/>
      <c r="B34" s="6">
        <v>1</v>
      </c>
      <c r="C34" s="6"/>
      <c r="D34" s="7" t="s">
        <v>215</v>
      </c>
      <c r="E34" s="6" t="s">
        <v>117</v>
      </c>
      <c r="F34" s="6" t="s">
        <v>216</v>
      </c>
      <c r="G34" s="6"/>
      <c r="H34" s="6"/>
      <c r="I34" s="6"/>
      <c r="J34" s="25" t="s">
        <v>217</v>
      </c>
    </row>
    <row r="35" spans="1:11" x14ac:dyDescent="0.3">
      <c r="A35" s="6"/>
      <c r="B35" s="6">
        <v>1</v>
      </c>
      <c r="C35" s="6"/>
      <c r="D35" s="7" t="s">
        <v>218</v>
      </c>
      <c r="E35" s="8" t="s">
        <v>117</v>
      </c>
      <c r="F35" s="8" t="s">
        <v>212</v>
      </c>
      <c r="G35" s="6"/>
      <c r="H35" s="6"/>
      <c r="I35" s="6"/>
      <c r="J35" s="25"/>
    </row>
    <row r="36" spans="1:11" x14ac:dyDescent="0.3">
      <c r="A36" s="6">
        <v>1</v>
      </c>
      <c r="B36" s="6">
        <v>1</v>
      </c>
      <c r="C36" s="6" t="s">
        <v>219</v>
      </c>
      <c r="D36" s="6" t="s">
        <v>220</v>
      </c>
      <c r="E36" s="8" t="s">
        <v>117</v>
      </c>
      <c r="F36" s="8" t="s">
        <v>221</v>
      </c>
      <c r="G36" s="8" t="s">
        <v>219</v>
      </c>
      <c r="H36" s="8" t="s">
        <v>207</v>
      </c>
      <c r="I36" s="6" t="s">
        <v>222</v>
      </c>
      <c r="J36" s="25" t="s">
        <v>214</v>
      </c>
    </row>
    <row r="37" spans="1:11" x14ac:dyDescent="0.3">
      <c r="A37" s="6"/>
      <c r="B37" s="6">
        <v>1</v>
      </c>
      <c r="C37" s="6"/>
      <c r="D37" s="7" t="s">
        <v>220</v>
      </c>
      <c r="E37" s="6"/>
      <c r="F37" s="6" t="s">
        <v>223</v>
      </c>
      <c r="G37" s="6"/>
      <c r="H37" s="6"/>
      <c r="I37" s="6"/>
      <c r="J37" s="25" t="s">
        <v>224</v>
      </c>
    </row>
    <row r="38" spans="1:11" x14ac:dyDescent="0.3">
      <c r="A38" s="6">
        <v>1</v>
      </c>
      <c r="B38" s="6">
        <v>7</v>
      </c>
      <c r="C38" s="6" t="s">
        <v>225</v>
      </c>
      <c r="D38" s="14" t="s">
        <v>226</v>
      </c>
      <c r="E38" s="8" t="s">
        <v>117</v>
      </c>
      <c r="F38" s="8" t="s">
        <v>227</v>
      </c>
      <c r="G38" s="8" t="s">
        <v>225</v>
      </c>
      <c r="H38" s="8" t="s">
        <v>172</v>
      </c>
      <c r="I38" s="6" t="s">
        <v>228</v>
      </c>
      <c r="J38" s="25" t="s">
        <v>214</v>
      </c>
    </row>
    <row r="39" spans="1:11" x14ac:dyDescent="0.3">
      <c r="A39" s="6">
        <v>1</v>
      </c>
      <c r="B39" s="6">
        <v>1</v>
      </c>
      <c r="C39" s="6" t="s">
        <v>225</v>
      </c>
      <c r="D39" s="8" t="s">
        <v>229</v>
      </c>
      <c r="E39" s="8" t="s">
        <v>117</v>
      </c>
      <c r="F39" s="8" t="s">
        <v>230</v>
      </c>
      <c r="G39" s="8" t="s">
        <v>225</v>
      </c>
      <c r="H39" s="8" t="s">
        <v>172</v>
      </c>
      <c r="I39" s="6"/>
      <c r="J39" s="25" t="s">
        <v>209</v>
      </c>
    </row>
    <row r="40" spans="1:11" ht="15" x14ac:dyDescent="0.3">
      <c r="A40" s="6">
        <v>1</v>
      </c>
      <c r="B40" s="6">
        <v>2</v>
      </c>
      <c r="C40" s="6" t="s">
        <v>231</v>
      </c>
      <c r="D40" s="8" t="s">
        <v>232</v>
      </c>
      <c r="E40" s="8" t="s">
        <v>117</v>
      </c>
      <c r="F40" s="8" t="s">
        <v>233</v>
      </c>
      <c r="G40" s="8" t="s">
        <v>231</v>
      </c>
      <c r="H40" s="8" t="s">
        <v>172</v>
      </c>
      <c r="I40" s="6" t="s">
        <v>234</v>
      </c>
      <c r="J40" s="25" t="s">
        <v>235</v>
      </c>
      <c r="K40" s="23" t="s">
        <v>236</v>
      </c>
    </row>
    <row r="41" spans="1:11" x14ac:dyDescent="0.3">
      <c r="A41" s="6">
        <v>1</v>
      </c>
      <c r="B41" s="6">
        <v>1</v>
      </c>
      <c r="C41" s="6" t="s">
        <v>237</v>
      </c>
      <c r="D41" s="8" t="s">
        <v>238</v>
      </c>
      <c r="E41" s="8" t="s">
        <v>117</v>
      </c>
      <c r="F41" s="8" t="s">
        <v>230</v>
      </c>
      <c r="G41" s="8" t="s">
        <v>237</v>
      </c>
      <c r="H41" s="6" t="s">
        <v>172</v>
      </c>
      <c r="I41" s="6"/>
      <c r="J41" s="25" t="s">
        <v>209</v>
      </c>
    </row>
    <row r="42" spans="1:11" x14ac:dyDescent="0.3">
      <c r="A42" s="6">
        <v>1</v>
      </c>
      <c r="B42" s="6">
        <v>1</v>
      </c>
      <c r="C42" s="6" t="s">
        <v>237</v>
      </c>
      <c r="D42" s="15" t="s">
        <v>239</v>
      </c>
      <c r="E42" s="8" t="s">
        <v>117</v>
      </c>
      <c r="F42" s="8" t="s">
        <v>240</v>
      </c>
      <c r="G42" s="15" t="s">
        <v>237</v>
      </c>
      <c r="H42" s="6" t="s">
        <v>172</v>
      </c>
      <c r="I42" s="6"/>
      <c r="J42" s="25" t="s">
        <v>209</v>
      </c>
    </row>
    <row r="43" spans="1:11" x14ac:dyDescent="0.3">
      <c r="A43" s="6">
        <v>1</v>
      </c>
      <c r="B43" s="6">
        <v>3</v>
      </c>
      <c r="C43" s="6" t="s">
        <v>237</v>
      </c>
      <c r="D43" s="8" t="s">
        <v>241</v>
      </c>
      <c r="E43" s="8" t="s">
        <v>117</v>
      </c>
      <c r="F43" s="8" t="s">
        <v>242</v>
      </c>
      <c r="G43" s="8" t="s">
        <v>237</v>
      </c>
      <c r="H43" s="6" t="s">
        <v>172</v>
      </c>
      <c r="I43" s="6" t="s">
        <v>243</v>
      </c>
      <c r="J43" s="25" t="s">
        <v>209</v>
      </c>
    </row>
    <row r="44" spans="1:11" ht="43.2" x14ac:dyDescent="0.3">
      <c r="A44" s="6">
        <v>1</v>
      </c>
      <c r="B44" s="6">
        <v>15</v>
      </c>
      <c r="C44" s="6" t="s">
        <v>244</v>
      </c>
      <c r="D44" s="16" t="s">
        <v>245</v>
      </c>
      <c r="E44" s="8" t="s">
        <v>117</v>
      </c>
      <c r="F44" s="8" t="s">
        <v>230</v>
      </c>
      <c r="G44" s="8" t="s">
        <v>244</v>
      </c>
      <c r="H44" s="6" t="s">
        <v>246</v>
      </c>
      <c r="I44" s="6" t="s">
        <v>247</v>
      </c>
      <c r="J44" s="25" t="s">
        <v>248</v>
      </c>
      <c r="K44" s="24" t="s">
        <v>249</v>
      </c>
    </row>
    <row r="45" spans="1:11" x14ac:dyDescent="0.3">
      <c r="A45" s="6">
        <v>1</v>
      </c>
      <c r="B45" s="6">
        <v>1</v>
      </c>
      <c r="C45" s="6" t="s">
        <v>250</v>
      </c>
      <c r="D45" s="7" t="s">
        <v>251</v>
      </c>
      <c r="E45" s="8" t="s">
        <v>117</v>
      </c>
      <c r="F45" s="8" t="s">
        <v>252</v>
      </c>
      <c r="G45" s="8" t="s">
        <v>250</v>
      </c>
      <c r="H45" s="6" t="s">
        <v>207</v>
      </c>
      <c r="I45" s="6" t="s">
        <v>253</v>
      </c>
      <c r="J45" s="25" t="s">
        <v>209</v>
      </c>
    </row>
    <row r="46" spans="1:11" x14ac:dyDescent="0.3">
      <c r="A46" s="6">
        <v>1</v>
      </c>
      <c r="B46" s="6">
        <v>1</v>
      </c>
      <c r="C46" s="6" t="s">
        <v>254</v>
      </c>
      <c r="D46" s="7" t="s">
        <v>255</v>
      </c>
      <c r="E46" s="8" t="s">
        <v>117</v>
      </c>
      <c r="F46" s="8" t="s">
        <v>256</v>
      </c>
      <c r="G46" s="8" t="s">
        <v>254</v>
      </c>
      <c r="H46" s="6" t="s">
        <v>207</v>
      </c>
      <c r="I46" s="6" t="s">
        <v>257</v>
      </c>
      <c r="J46" s="25" t="s">
        <v>209</v>
      </c>
    </row>
    <row r="47" spans="1:11" x14ac:dyDescent="0.3">
      <c r="A47" s="6">
        <v>1</v>
      </c>
      <c r="B47" s="6">
        <v>1</v>
      </c>
      <c r="C47" s="6" t="s">
        <v>258</v>
      </c>
      <c r="D47" s="7" t="s">
        <v>259</v>
      </c>
      <c r="E47" s="8" t="s">
        <v>117</v>
      </c>
      <c r="F47" s="8" t="s">
        <v>260</v>
      </c>
      <c r="G47" s="8" t="s">
        <v>258</v>
      </c>
      <c r="H47" s="6" t="s">
        <v>207</v>
      </c>
      <c r="I47" s="6" t="s">
        <v>261</v>
      </c>
      <c r="J47" s="25" t="s">
        <v>209</v>
      </c>
    </row>
    <row r="48" spans="1:11" x14ac:dyDescent="0.3">
      <c r="A48" s="6">
        <v>1</v>
      </c>
      <c r="B48" s="6">
        <v>2</v>
      </c>
      <c r="C48" s="6" t="s">
        <v>262</v>
      </c>
      <c r="D48" s="14" t="s">
        <v>263</v>
      </c>
      <c r="E48" s="15" t="s">
        <v>117</v>
      </c>
      <c r="F48" s="15" t="s">
        <v>264</v>
      </c>
      <c r="G48" s="15" t="s">
        <v>262</v>
      </c>
      <c r="H48" s="6" t="s">
        <v>246</v>
      </c>
      <c r="I48" s="6" t="s">
        <v>265</v>
      </c>
      <c r="J48" s="25" t="s">
        <v>209</v>
      </c>
    </row>
    <row r="49" spans="1:11" ht="15" x14ac:dyDescent="0.3">
      <c r="A49" s="6">
        <v>1</v>
      </c>
      <c r="B49" s="6">
        <v>1</v>
      </c>
      <c r="C49" s="6" t="s">
        <v>266</v>
      </c>
      <c r="D49" s="7" t="s">
        <v>267</v>
      </c>
      <c r="E49" s="8" t="s">
        <v>268</v>
      </c>
      <c r="F49" s="8"/>
      <c r="G49" s="8" t="s">
        <v>107</v>
      </c>
      <c r="H49" s="6" t="s">
        <v>55</v>
      </c>
      <c r="I49" s="6" t="s">
        <v>269</v>
      </c>
      <c r="J49" s="27" t="s">
        <v>270</v>
      </c>
      <c r="K49" s="23" t="s">
        <v>271</v>
      </c>
    </row>
    <row r="50" spans="1:11" ht="15" x14ac:dyDescent="0.3">
      <c r="A50" s="6">
        <v>1</v>
      </c>
      <c r="B50" s="6">
        <v>2</v>
      </c>
      <c r="C50" s="6" t="s">
        <v>272</v>
      </c>
      <c r="D50" s="14" t="s">
        <v>273</v>
      </c>
      <c r="E50" s="8" t="s">
        <v>268</v>
      </c>
      <c r="F50" s="8"/>
      <c r="G50" s="8" t="s">
        <v>274</v>
      </c>
      <c r="H50" s="6" t="s">
        <v>55</v>
      </c>
      <c r="I50" s="6" t="s">
        <v>275</v>
      </c>
      <c r="J50" s="27" t="s">
        <v>276</v>
      </c>
      <c r="K50" s="23" t="s">
        <v>277</v>
      </c>
    </row>
    <row r="51" spans="1:11" ht="15" x14ac:dyDescent="0.3">
      <c r="A51" s="6">
        <v>1</v>
      </c>
      <c r="B51" s="6">
        <v>1</v>
      </c>
      <c r="C51" s="6" t="s">
        <v>278</v>
      </c>
      <c r="D51" s="7" t="s">
        <v>279</v>
      </c>
      <c r="E51" s="8" t="s">
        <v>280</v>
      </c>
      <c r="F51" s="8"/>
      <c r="G51" s="8" t="s">
        <v>281</v>
      </c>
      <c r="H51" s="6" t="s">
        <v>282</v>
      </c>
      <c r="I51" s="6"/>
      <c r="J51" s="5" t="s">
        <v>283</v>
      </c>
      <c r="K51" s="23" t="s">
        <v>284</v>
      </c>
    </row>
    <row r="52" spans="1:11" x14ac:dyDescent="0.3">
      <c r="A52" s="6">
        <v>1</v>
      </c>
      <c r="B52" s="6">
        <v>1</v>
      </c>
      <c r="C52" s="6" t="s">
        <v>244</v>
      </c>
      <c r="D52" s="17" t="s">
        <v>285</v>
      </c>
      <c r="E52" s="8" t="s">
        <v>117</v>
      </c>
      <c r="F52" s="8" t="s">
        <v>286</v>
      </c>
      <c r="G52" s="8" t="s">
        <v>244</v>
      </c>
      <c r="H52" s="6" t="s">
        <v>246</v>
      </c>
      <c r="I52" s="6"/>
      <c r="J52" s="25" t="s">
        <v>209</v>
      </c>
    </row>
    <row r="53" spans="1:11" ht="15" x14ac:dyDescent="0.3">
      <c r="A53" s="6">
        <v>1</v>
      </c>
      <c r="B53" s="6">
        <v>1</v>
      </c>
      <c r="C53" s="6" t="s">
        <v>287</v>
      </c>
      <c r="D53" s="7" t="s">
        <v>288</v>
      </c>
      <c r="E53" s="8" t="s">
        <v>289</v>
      </c>
      <c r="F53" s="8" t="s">
        <v>290</v>
      </c>
      <c r="G53" s="8" t="s">
        <v>287</v>
      </c>
      <c r="H53" s="6"/>
      <c r="I53" s="6" t="s">
        <v>291</v>
      </c>
      <c r="J53" s="5" t="s">
        <v>292</v>
      </c>
      <c r="K53" s="24" t="s">
        <v>316</v>
      </c>
    </row>
    <row r="54" spans="1:11" ht="15" x14ac:dyDescent="0.3">
      <c r="A54" s="6">
        <v>1</v>
      </c>
      <c r="B54" s="6">
        <v>1</v>
      </c>
      <c r="C54" s="6" t="s">
        <v>293</v>
      </c>
      <c r="D54" s="17" t="s">
        <v>294</v>
      </c>
      <c r="E54" s="8" t="s">
        <v>295</v>
      </c>
      <c r="F54" s="8"/>
      <c r="G54" s="8" t="s">
        <v>296</v>
      </c>
      <c r="H54" s="6" t="s">
        <v>111</v>
      </c>
      <c r="I54" s="6" t="s">
        <v>297</v>
      </c>
      <c r="J54" s="25" t="s">
        <v>16</v>
      </c>
      <c r="K54" s="23" t="s">
        <v>298</v>
      </c>
    </row>
    <row r="55" spans="1:11" ht="15" x14ac:dyDescent="0.3">
      <c r="A55" s="6">
        <v>1</v>
      </c>
      <c r="B55" s="6">
        <v>1</v>
      </c>
      <c r="C55" s="18" t="s">
        <v>299</v>
      </c>
      <c r="D55" s="17" t="s">
        <v>300</v>
      </c>
      <c r="E55" s="8" t="s">
        <v>301</v>
      </c>
      <c r="F55" s="8"/>
      <c r="G55" s="19" t="s">
        <v>299</v>
      </c>
      <c r="H55" s="6"/>
      <c r="I55" s="6" t="s">
        <v>302</v>
      </c>
      <c r="J55" s="25" t="s">
        <v>303</v>
      </c>
      <c r="K55" s="23" t="s">
        <v>304</v>
      </c>
    </row>
    <row r="56" spans="1:11" ht="15" x14ac:dyDescent="0.3">
      <c r="A56" s="6">
        <v>1</v>
      </c>
      <c r="B56" s="6">
        <v>1</v>
      </c>
      <c r="C56" s="18" t="s">
        <v>299</v>
      </c>
      <c r="D56" s="20" t="s">
        <v>300</v>
      </c>
      <c r="E56" s="6"/>
      <c r="F56" s="6"/>
      <c r="G56" s="18" t="s">
        <v>305</v>
      </c>
      <c r="H56" s="6"/>
      <c r="I56" s="6" t="s">
        <v>302</v>
      </c>
      <c r="J56" s="28" t="s">
        <v>318</v>
      </c>
      <c r="K56" s="24" t="s">
        <v>317</v>
      </c>
    </row>
    <row r="57" spans="1:11" ht="15" x14ac:dyDescent="0.3">
      <c r="B57">
        <v>1</v>
      </c>
      <c r="C57" s="21" t="s">
        <v>306</v>
      </c>
      <c r="J57" s="5" t="s">
        <v>307</v>
      </c>
      <c r="K57" s="23" t="s">
        <v>308</v>
      </c>
    </row>
    <row r="59" spans="1:11" x14ac:dyDescent="0.3">
      <c r="J59" s="1" t="s">
        <v>309</v>
      </c>
    </row>
  </sheetData>
  <sheetProtection formatCells="0" formatColumns="0" formatRows="0" insertColumns="0" insertRows="0" insertHyperlinks="0" deleteColumns="0" deleteRows="0" sort="0" autoFilter="0" pivotTables="0"/>
  <autoFilter ref="A1:K59" xr:uid="{00000000-0009-0000-0000-000000000000}"/>
  <phoneticPr fontId="9" type="noConversion"/>
  <hyperlinks>
    <hyperlink ref="K2" r:id="rId1" tooltip="https://item.taobao.com/item.htm?spm=a1z10.3-c-s.w4002-24706531953.9.5a5d6a4bURrRhl&amp;id=537772527714" xr:uid="{00000000-0004-0000-0000-000000000000}"/>
    <hyperlink ref="K18" r:id="rId2" xr:uid="{00000000-0004-0000-0000-000001000000}"/>
    <hyperlink ref="K20" r:id="rId3" xr:uid="{00000000-0004-0000-0000-000002000000}"/>
    <hyperlink ref="K13" r:id="rId4" xr:uid="{00000000-0004-0000-0000-000003000000}"/>
    <hyperlink ref="K21" r:id="rId5" xr:uid="{00000000-0004-0000-0000-000004000000}"/>
    <hyperlink ref="K23" r:id="rId6" tooltip="https://item.taobao.com/item.htm?id=564164961306&amp;spm=a1z10.5-c-s.w4002-24706531925.9.362c44507QJPxA" xr:uid="{00000000-0004-0000-0000-000005000000}"/>
    <hyperlink ref="K57" r:id="rId7" location="detail" xr:uid="{00000000-0004-0000-0000-000006000000}"/>
    <hyperlink ref="K9" r:id="rId8" xr:uid="{00000000-0004-0000-0000-000007000000}"/>
    <hyperlink ref="K11" r:id="rId9" location="detail" xr:uid="{00000000-0004-0000-0000-000008000000}"/>
    <hyperlink ref="K3" r:id="rId10" xr:uid="{00000000-0004-0000-0000-000009000000}"/>
    <hyperlink ref="K5" r:id="rId11" xr:uid="{00000000-0004-0000-0000-00000A000000}"/>
    <hyperlink ref="K6" r:id="rId12" xr:uid="{00000000-0004-0000-0000-00000B000000}"/>
    <hyperlink ref="K7" r:id="rId13" xr:uid="{00000000-0004-0000-0000-00000C000000}"/>
    <hyperlink ref="K8" r:id="rId14" xr:uid="{00000000-0004-0000-0000-00000D000000}"/>
    <hyperlink ref="K12" r:id="rId15" location="detail" xr:uid="{00000000-0004-0000-0000-00000E000000}"/>
    <hyperlink ref="K14" r:id="rId16" xr:uid="{00000000-0004-0000-0000-00000F000000}"/>
    <hyperlink ref="K15" r:id="rId17" xr:uid="{00000000-0004-0000-0000-000010000000}"/>
    <hyperlink ref="K17" r:id="rId18" xr:uid="{00000000-0004-0000-0000-000011000000}"/>
    <hyperlink ref="K49" r:id="rId19" xr:uid="{00000000-0004-0000-0000-000012000000}"/>
    <hyperlink ref="K50" r:id="rId20" xr:uid="{00000000-0004-0000-0000-000013000000}"/>
    <hyperlink ref="K19" r:id="rId21" xr:uid="{00000000-0004-0000-0000-000014000000}"/>
    <hyperlink ref="K22" r:id="rId22" xr:uid="{00000000-0004-0000-0000-000015000000}"/>
    <hyperlink ref="K24" r:id="rId23" xr:uid="{00000000-0004-0000-0000-000016000000}"/>
    <hyperlink ref="K25" r:id="rId24" xr:uid="{00000000-0004-0000-0000-000017000000}"/>
    <hyperlink ref="K30" r:id="rId25" xr:uid="{00000000-0004-0000-0000-000018000000}"/>
    <hyperlink ref="K31" r:id="rId26" xr:uid="{00000000-0004-0000-0000-000019000000}"/>
    <hyperlink ref="K27" r:id="rId27" xr:uid="{00000000-0004-0000-0000-00001A000000}"/>
    <hyperlink ref="K40" r:id="rId28" xr:uid="{00000000-0004-0000-0000-00001B000000}"/>
    <hyperlink ref="K51" r:id="rId29" xr:uid="{00000000-0004-0000-0000-00001C000000}"/>
    <hyperlink ref="K54" r:id="rId30" xr:uid="{00000000-0004-0000-0000-00001D000000}"/>
    <hyperlink ref="K55" r:id="rId31" xr:uid="{00000000-0004-0000-0000-00001E000000}"/>
    <hyperlink ref="K4" r:id="rId32" xr:uid="{00000000-0004-0000-0000-00001F000000}"/>
    <hyperlink ref="K10" r:id="rId33" xr:uid="{00000000-0004-0000-0000-000020000000}"/>
    <hyperlink ref="K28" r:id="rId34" xr:uid="{00000000-0004-0000-0000-000021000000}"/>
    <hyperlink ref="K29" r:id="rId35" xr:uid="{00000000-0004-0000-0000-000022000000}"/>
    <hyperlink ref="K44" r:id="rId36" xr:uid="{00000000-0004-0000-0000-000023000000}"/>
    <hyperlink ref="K53" r:id="rId37" xr:uid="{4CB9EDFB-21F7-4211-9A6A-DD7659E4DA60}"/>
    <hyperlink ref="K56" r:id="rId38" xr:uid="{1303FE60-D4E6-41E8-817B-25BBFAB7F171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24"/>
  <sheetViews>
    <sheetView workbookViewId="0">
      <selection activeCell="X12" sqref="X12"/>
    </sheetView>
  </sheetViews>
  <sheetFormatPr defaultColWidth="9.109375" defaultRowHeight="14.4" x14ac:dyDescent="0.3"/>
  <sheetData>
    <row r="1" spans="1:7" x14ac:dyDescent="0.3">
      <c r="A1" t="s">
        <v>310</v>
      </c>
      <c r="B1" t="s">
        <v>311</v>
      </c>
      <c r="C1" t="s">
        <v>312</v>
      </c>
      <c r="D1" t="s">
        <v>313</v>
      </c>
      <c r="E1" t="s">
        <v>314</v>
      </c>
    </row>
    <row r="2" spans="1:7" x14ac:dyDescent="0.3">
      <c r="A2">
        <v>6</v>
      </c>
      <c r="C2">
        <v>0.22</v>
      </c>
      <c r="D2">
        <v>1</v>
      </c>
      <c r="E2">
        <v>0.22</v>
      </c>
      <c r="G2">
        <f>A2*C2</f>
        <v>1.32</v>
      </c>
    </row>
    <row r="3" spans="1:7" x14ac:dyDescent="0.3">
      <c r="A3">
        <v>1</v>
      </c>
      <c r="C3">
        <v>27.5</v>
      </c>
      <c r="D3">
        <v>5</v>
      </c>
      <c r="E3">
        <v>5.5</v>
      </c>
      <c r="G3">
        <f t="shared" ref="G3:G24" si="0">A3*C3</f>
        <v>27.5</v>
      </c>
    </row>
    <row r="4" spans="1:7" x14ac:dyDescent="0.3">
      <c r="A4">
        <v>5</v>
      </c>
      <c r="C4">
        <v>1.1499999999999999</v>
      </c>
      <c r="D4">
        <v>1</v>
      </c>
      <c r="E4">
        <v>1.1499999999999999</v>
      </c>
      <c r="G4">
        <f t="shared" si="0"/>
        <v>5.75</v>
      </c>
    </row>
    <row r="5" spans="1:7" x14ac:dyDescent="0.3">
      <c r="A5">
        <v>5</v>
      </c>
      <c r="C5">
        <v>7.0000000000000007E-2</v>
      </c>
      <c r="D5">
        <v>1</v>
      </c>
      <c r="E5">
        <v>7.0000000000000007E-2</v>
      </c>
      <c r="G5">
        <f t="shared" si="0"/>
        <v>0.35</v>
      </c>
    </row>
    <row r="6" spans="1:7" x14ac:dyDescent="0.3">
      <c r="A6">
        <v>1</v>
      </c>
      <c r="C6">
        <v>1.2</v>
      </c>
      <c r="D6">
        <v>20</v>
      </c>
      <c r="E6">
        <v>0.06</v>
      </c>
      <c r="G6">
        <f t="shared" si="0"/>
        <v>1.2</v>
      </c>
    </row>
    <row r="7" spans="1:7" x14ac:dyDescent="0.3">
      <c r="A7">
        <v>5</v>
      </c>
      <c r="C7">
        <v>0.89</v>
      </c>
      <c r="D7">
        <v>1</v>
      </c>
      <c r="E7">
        <v>0.89</v>
      </c>
      <c r="G7">
        <f t="shared" si="0"/>
        <v>4.45</v>
      </c>
    </row>
    <row r="8" spans="1:7" x14ac:dyDescent="0.3">
      <c r="A8">
        <v>1</v>
      </c>
      <c r="C8">
        <v>1.2</v>
      </c>
      <c r="D8">
        <v>10</v>
      </c>
      <c r="E8">
        <v>0.12</v>
      </c>
      <c r="G8">
        <f t="shared" si="0"/>
        <v>1.2</v>
      </c>
    </row>
    <row r="9" spans="1:7" x14ac:dyDescent="0.3">
      <c r="A9">
        <v>1</v>
      </c>
      <c r="C9">
        <v>2.2000000000000002</v>
      </c>
      <c r="D9">
        <v>20</v>
      </c>
      <c r="E9">
        <v>0.11</v>
      </c>
      <c r="G9">
        <f t="shared" si="0"/>
        <v>2.2000000000000002</v>
      </c>
    </row>
    <row r="10" spans="1:7" x14ac:dyDescent="0.3">
      <c r="A10">
        <v>5</v>
      </c>
      <c r="C10">
        <v>0.23</v>
      </c>
      <c r="D10">
        <v>1</v>
      </c>
      <c r="E10">
        <v>0.23</v>
      </c>
      <c r="G10">
        <f t="shared" si="0"/>
        <v>1.1499999999999999</v>
      </c>
    </row>
    <row r="11" spans="1:7" x14ac:dyDescent="0.3">
      <c r="A11">
        <v>5</v>
      </c>
      <c r="C11">
        <v>3.8</v>
      </c>
      <c r="D11">
        <v>1</v>
      </c>
      <c r="E11">
        <v>3.8</v>
      </c>
      <c r="G11">
        <f t="shared" si="0"/>
        <v>19</v>
      </c>
    </row>
    <row r="12" spans="1:7" x14ac:dyDescent="0.3">
      <c r="A12">
        <v>5</v>
      </c>
      <c r="C12">
        <v>0.9</v>
      </c>
      <c r="D12">
        <v>1</v>
      </c>
      <c r="E12">
        <v>0.9</v>
      </c>
      <c r="G12">
        <f t="shared" si="0"/>
        <v>4.5</v>
      </c>
    </row>
    <row r="13" spans="1:7" x14ac:dyDescent="0.3">
      <c r="A13">
        <v>6</v>
      </c>
      <c r="C13">
        <v>0.42</v>
      </c>
      <c r="D13">
        <v>1</v>
      </c>
      <c r="E13">
        <v>0.42</v>
      </c>
      <c r="G13">
        <f t="shared" si="0"/>
        <v>2.52</v>
      </c>
    </row>
    <row r="14" spans="1:7" x14ac:dyDescent="0.3">
      <c r="A14">
        <v>5</v>
      </c>
      <c r="C14">
        <v>0.49</v>
      </c>
      <c r="D14">
        <v>1</v>
      </c>
      <c r="E14">
        <v>0.49</v>
      </c>
      <c r="G14">
        <f t="shared" si="0"/>
        <v>2.4500000000000002</v>
      </c>
    </row>
    <row r="15" spans="1:7" x14ac:dyDescent="0.3">
      <c r="A15">
        <v>1</v>
      </c>
      <c r="C15">
        <v>2</v>
      </c>
      <c r="D15">
        <v>50</v>
      </c>
      <c r="E15">
        <v>0.04</v>
      </c>
      <c r="G15">
        <f t="shared" si="0"/>
        <v>2</v>
      </c>
    </row>
    <row r="16" spans="1:7" x14ac:dyDescent="0.3">
      <c r="A16">
        <v>1</v>
      </c>
      <c r="C16">
        <v>2</v>
      </c>
      <c r="D16">
        <v>100</v>
      </c>
      <c r="E16">
        <v>0.02</v>
      </c>
      <c r="G16">
        <f t="shared" si="0"/>
        <v>2</v>
      </c>
    </row>
    <row r="17" spans="1:7" x14ac:dyDescent="0.3">
      <c r="A17">
        <v>1</v>
      </c>
      <c r="C17">
        <v>2</v>
      </c>
      <c r="D17">
        <v>50</v>
      </c>
      <c r="E17">
        <v>0.04</v>
      </c>
      <c r="G17">
        <f t="shared" si="0"/>
        <v>2</v>
      </c>
    </row>
    <row r="18" spans="1:7" x14ac:dyDescent="0.3">
      <c r="A18">
        <v>1</v>
      </c>
      <c r="C18">
        <v>2</v>
      </c>
      <c r="D18">
        <v>100</v>
      </c>
      <c r="E18">
        <v>0.02</v>
      </c>
      <c r="G18">
        <f t="shared" si="0"/>
        <v>2</v>
      </c>
    </row>
    <row r="19" spans="1:7" x14ac:dyDescent="0.3">
      <c r="A19">
        <v>1</v>
      </c>
      <c r="C19">
        <v>2</v>
      </c>
      <c r="D19">
        <v>50</v>
      </c>
      <c r="E19">
        <v>0.04</v>
      </c>
      <c r="G19">
        <f t="shared" si="0"/>
        <v>2</v>
      </c>
    </row>
    <row r="20" spans="1:7" x14ac:dyDescent="0.3">
      <c r="A20">
        <v>1</v>
      </c>
      <c r="C20">
        <v>0.8</v>
      </c>
      <c r="D20">
        <v>50</v>
      </c>
      <c r="E20">
        <v>1.6E-2</v>
      </c>
      <c r="G20">
        <f t="shared" si="0"/>
        <v>0.8</v>
      </c>
    </row>
    <row r="21" spans="1:7" x14ac:dyDescent="0.3">
      <c r="A21">
        <v>1</v>
      </c>
      <c r="C21">
        <v>2</v>
      </c>
      <c r="D21">
        <v>20</v>
      </c>
      <c r="E21">
        <v>0.1</v>
      </c>
      <c r="G21">
        <f t="shared" si="0"/>
        <v>2</v>
      </c>
    </row>
    <row r="22" spans="1:7" x14ac:dyDescent="0.3">
      <c r="A22">
        <v>1</v>
      </c>
      <c r="C22">
        <v>1.8</v>
      </c>
      <c r="D22">
        <v>20</v>
      </c>
      <c r="E22">
        <v>0.09</v>
      </c>
      <c r="G22">
        <f t="shared" si="0"/>
        <v>1.8</v>
      </c>
    </row>
    <row r="23" spans="1:7" x14ac:dyDescent="0.3">
      <c r="A23">
        <v>1</v>
      </c>
      <c r="C23">
        <v>2</v>
      </c>
      <c r="D23">
        <v>5</v>
      </c>
      <c r="E23">
        <v>0.4</v>
      </c>
      <c r="G23">
        <f t="shared" si="0"/>
        <v>2</v>
      </c>
    </row>
    <row r="24" spans="1:7" x14ac:dyDescent="0.3">
      <c r="A24">
        <v>5</v>
      </c>
      <c r="C24">
        <v>3.87</v>
      </c>
      <c r="D24">
        <v>1</v>
      </c>
      <c r="E24">
        <v>3.87</v>
      </c>
      <c r="G24">
        <f t="shared" si="0"/>
        <v>19.350000000000001</v>
      </c>
    </row>
  </sheetData>
  <phoneticPr fontId="9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4"/>
  <sheetViews>
    <sheetView topLeftCell="A24" workbookViewId="0">
      <selection activeCell="G54" sqref="G54"/>
    </sheetView>
  </sheetViews>
  <sheetFormatPr defaultColWidth="9.109375" defaultRowHeight="14.4" x14ac:dyDescent="0.3"/>
  <sheetData>
    <row r="1" spans="1:5" x14ac:dyDescent="0.3">
      <c r="A1" s="1" t="s">
        <v>16</v>
      </c>
      <c r="B1" s="1">
        <v>10</v>
      </c>
      <c r="C1" s="1"/>
      <c r="D1" s="1">
        <v>2</v>
      </c>
      <c r="E1" s="1">
        <v>2</v>
      </c>
    </row>
    <row r="2" spans="1:5" ht="73.8" x14ac:dyDescent="0.3">
      <c r="A2" s="2" t="s">
        <v>24</v>
      </c>
      <c r="B2" s="2">
        <v>20</v>
      </c>
      <c r="C2" s="2"/>
      <c r="D2" s="2">
        <v>2</v>
      </c>
      <c r="E2" s="2">
        <v>2</v>
      </c>
    </row>
    <row r="3" spans="1:5" x14ac:dyDescent="0.3">
      <c r="A3" s="1" t="s">
        <v>16</v>
      </c>
      <c r="B3" s="1">
        <v>50</v>
      </c>
      <c r="C3" s="1"/>
      <c r="D3" s="1">
        <v>1.5</v>
      </c>
      <c r="E3" s="1">
        <v>1.5</v>
      </c>
    </row>
    <row r="4" spans="1:5" x14ac:dyDescent="0.3">
      <c r="A4" s="1" t="s">
        <v>40</v>
      </c>
      <c r="B4" s="1">
        <v>20</v>
      </c>
      <c r="C4" s="1"/>
      <c r="D4" s="1">
        <v>0.9</v>
      </c>
      <c r="E4" s="1">
        <v>0.9</v>
      </c>
    </row>
    <row r="5" spans="1:5" x14ac:dyDescent="0.3">
      <c r="A5" s="1" t="s">
        <v>44</v>
      </c>
      <c r="B5" s="1">
        <v>20</v>
      </c>
      <c r="C5" s="1"/>
      <c r="D5" s="1">
        <v>0.9</v>
      </c>
      <c r="E5" s="1">
        <v>0.9</v>
      </c>
    </row>
    <row r="6" spans="1:5" x14ac:dyDescent="0.3">
      <c r="A6" s="1" t="s">
        <v>16</v>
      </c>
      <c r="B6" s="1">
        <v>20</v>
      </c>
      <c r="C6" s="1"/>
      <c r="D6" s="1">
        <v>0.8</v>
      </c>
      <c r="E6" s="1">
        <v>0.8</v>
      </c>
    </row>
    <row r="7" spans="1:5" x14ac:dyDescent="0.3">
      <c r="A7" s="1" t="s">
        <v>16</v>
      </c>
      <c r="B7" s="1"/>
      <c r="C7" s="1"/>
      <c r="D7" s="1">
        <v>0.8</v>
      </c>
      <c r="E7" s="1">
        <v>0.8</v>
      </c>
    </row>
    <row r="8" spans="1:5" ht="37.799999999999997" x14ac:dyDescent="0.3">
      <c r="A8" s="2" t="s">
        <v>61</v>
      </c>
      <c r="B8" s="2"/>
      <c r="C8" s="2"/>
      <c r="D8" s="2"/>
    </row>
    <row r="9" spans="1:5" ht="73.8" x14ac:dyDescent="0.3">
      <c r="A9" s="2" t="s">
        <v>68</v>
      </c>
      <c r="B9" s="2">
        <v>6</v>
      </c>
      <c r="C9" s="2">
        <v>4</v>
      </c>
      <c r="D9" s="2">
        <v>0.22</v>
      </c>
      <c r="E9">
        <f>D9*10</f>
        <v>2.2000000000000002</v>
      </c>
    </row>
    <row r="10" spans="1:5" x14ac:dyDescent="0.3">
      <c r="A10" s="1" t="s">
        <v>76</v>
      </c>
      <c r="B10" s="1"/>
      <c r="C10" s="1"/>
      <c r="D10" s="1"/>
    </row>
    <row r="11" spans="1:5" x14ac:dyDescent="0.3">
      <c r="A11" s="1" t="s">
        <v>82</v>
      </c>
      <c r="B11" s="1">
        <v>6</v>
      </c>
      <c r="C11" s="1">
        <v>4</v>
      </c>
      <c r="D11" s="1">
        <f>4.5*10+5</f>
        <v>50</v>
      </c>
      <c r="E11">
        <v>50</v>
      </c>
    </row>
    <row r="12" spans="1:5" x14ac:dyDescent="0.3">
      <c r="A12" s="1" t="s">
        <v>90</v>
      </c>
      <c r="B12" s="3">
        <v>7</v>
      </c>
      <c r="C12" s="3">
        <v>1</v>
      </c>
      <c r="D12" s="1">
        <v>1.1499999999999999</v>
      </c>
      <c r="E12">
        <f t="shared" ref="E12:E16" si="0">D12*10</f>
        <v>11.5</v>
      </c>
    </row>
    <row r="13" spans="1:5" x14ac:dyDescent="0.3">
      <c r="A13" s="1" t="s">
        <v>98</v>
      </c>
      <c r="B13" s="1">
        <v>6</v>
      </c>
      <c r="C13" s="1">
        <v>4</v>
      </c>
      <c r="D13" s="1">
        <v>7.0000000000000007E-2</v>
      </c>
      <c r="E13">
        <f t="shared" si="0"/>
        <v>0.7</v>
      </c>
    </row>
    <row r="14" spans="1:5" x14ac:dyDescent="0.3">
      <c r="A14" s="1" t="s">
        <v>105</v>
      </c>
      <c r="B14" s="1">
        <v>20</v>
      </c>
      <c r="C14" s="1"/>
      <c r="D14" s="1">
        <v>1.2</v>
      </c>
      <c r="E14" s="1">
        <v>1.2</v>
      </c>
    </row>
    <row r="15" spans="1:5" x14ac:dyDescent="0.3">
      <c r="A15" s="1"/>
      <c r="B15" s="1"/>
      <c r="C15" s="1"/>
      <c r="D15" s="1"/>
    </row>
    <row r="16" spans="1:5" x14ac:dyDescent="0.3">
      <c r="A16" s="1" t="s">
        <v>113</v>
      </c>
      <c r="B16" s="3">
        <v>7</v>
      </c>
      <c r="C16" s="3"/>
      <c r="D16" s="1">
        <v>0.89</v>
      </c>
      <c r="E16">
        <f t="shared" si="0"/>
        <v>8.9</v>
      </c>
    </row>
    <row r="17" spans="1:5" x14ac:dyDescent="0.3">
      <c r="A17" s="1" t="s">
        <v>120</v>
      </c>
      <c r="B17" s="1">
        <v>10</v>
      </c>
      <c r="C17" s="1"/>
      <c r="D17" s="1">
        <v>1.2</v>
      </c>
      <c r="E17" s="1">
        <v>1.2</v>
      </c>
    </row>
    <row r="18" spans="1:5" x14ac:dyDescent="0.3">
      <c r="A18" s="1" t="s">
        <v>127</v>
      </c>
      <c r="B18" s="1">
        <v>6</v>
      </c>
      <c r="C18" s="1"/>
      <c r="D18" s="1"/>
    </row>
    <row r="19" spans="1:5" x14ac:dyDescent="0.3">
      <c r="A19" s="1" t="s">
        <v>135</v>
      </c>
      <c r="B19" s="1">
        <v>20</v>
      </c>
      <c r="C19" s="1">
        <v>20</v>
      </c>
      <c r="D19" s="1">
        <v>2.2000000000000002</v>
      </c>
      <c r="E19" s="1">
        <v>4.4000000000000004</v>
      </c>
    </row>
    <row r="20" spans="1:5" x14ac:dyDescent="0.3">
      <c r="A20" s="1" t="s">
        <v>143</v>
      </c>
      <c r="B20" s="3">
        <v>7</v>
      </c>
      <c r="C20" s="3">
        <v>1</v>
      </c>
      <c r="D20" s="1">
        <v>0.23</v>
      </c>
      <c r="E20">
        <f t="shared" ref="E20:E24" si="1">D20*10</f>
        <v>2.2999999999999998</v>
      </c>
    </row>
    <row r="21" spans="1:5" x14ac:dyDescent="0.3">
      <c r="A21" s="1" t="s">
        <v>149</v>
      </c>
      <c r="B21" s="3">
        <v>6</v>
      </c>
      <c r="C21" s="3"/>
      <c r="D21" s="1">
        <f>3.8*6</f>
        <v>22.8</v>
      </c>
      <c r="E21">
        <f>D21*10/6</f>
        <v>38</v>
      </c>
    </row>
    <row r="22" spans="1:5" x14ac:dyDescent="0.3">
      <c r="A22" s="1" t="s">
        <v>16</v>
      </c>
      <c r="B22" s="3">
        <v>8</v>
      </c>
      <c r="C22" s="3">
        <v>1</v>
      </c>
      <c r="D22" s="1">
        <v>0.9</v>
      </c>
      <c r="E22">
        <f t="shared" si="1"/>
        <v>9</v>
      </c>
    </row>
    <row r="23" spans="1:5" x14ac:dyDescent="0.3">
      <c r="A23" s="1" t="s">
        <v>160</v>
      </c>
      <c r="B23" s="1">
        <v>5</v>
      </c>
      <c r="C23" s="1">
        <v>6</v>
      </c>
      <c r="D23" s="1">
        <v>0.42</v>
      </c>
      <c r="E23">
        <f t="shared" si="1"/>
        <v>4.2</v>
      </c>
    </row>
    <row r="24" spans="1:5" x14ac:dyDescent="0.3">
      <c r="A24" s="1" t="s">
        <v>16</v>
      </c>
      <c r="B24" s="1">
        <v>7</v>
      </c>
      <c r="C24" s="1">
        <v>4</v>
      </c>
      <c r="D24" s="1">
        <v>0.49</v>
      </c>
      <c r="E24">
        <f t="shared" si="1"/>
        <v>4.9000000000000004</v>
      </c>
    </row>
    <row r="25" spans="1:5" x14ac:dyDescent="0.3">
      <c r="A25" s="1" t="s">
        <v>174</v>
      </c>
      <c r="B25" s="1">
        <v>150</v>
      </c>
      <c r="C25" s="1"/>
      <c r="D25" s="1"/>
    </row>
    <row r="26" spans="1:5" x14ac:dyDescent="0.3">
      <c r="A26" s="1" t="s">
        <v>179</v>
      </c>
      <c r="B26" s="4">
        <v>50</v>
      </c>
      <c r="C26" s="4"/>
      <c r="D26" s="1">
        <v>2</v>
      </c>
      <c r="E26" s="1">
        <v>2</v>
      </c>
    </row>
    <row r="27" spans="1:5" x14ac:dyDescent="0.3">
      <c r="A27" s="1" t="s">
        <v>185</v>
      </c>
      <c r="B27" s="4">
        <v>50</v>
      </c>
      <c r="C27" s="4"/>
      <c r="D27" s="1">
        <v>1.5</v>
      </c>
      <c r="E27" s="1">
        <v>1.5</v>
      </c>
    </row>
    <row r="28" spans="1:5" x14ac:dyDescent="0.3">
      <c r="A28" s="1" t="s">
        <v>191</v>
      </c>
      <c r="B28" s="1">
        <v>100</v>
      </c>
      <c r="C28" s="1"/>
      <c r="D28" s="1">
        <v>10</v>
      </c>
      <c r="E28" s="1">
        <v>10</v>
      </c>
    </row>
    <row r="29" spans="1:5" x14ac:dyDescent="0.3">
      <c r="A29" s="1" t="s">
        <v>197</v>
      </c>
      <c r="B29" s="1">
        <v>100</v>
      </c>
      <c r="C29" s="1"/>
      <c r="D29" s="1">
        <v>2</v>
      </c>
      <c r="E29" s="1">
        <v>2</v>
      </c>
    </row>
    <row r="30" spans="1:5" x14ac:dyDescent="0.3">
      <c r="A30" s="1" t="s">
        <v>203</v>
      </c>
      <c r="B30" s="1">
        <v>100</v>
      </c>
      <c r="C30" s="1"/>
      <c r="D30" s="1">
        <v>2</v>
      </c>
      <c r="E30" s="1">
        <v>2</v>
      </c>
    </row>
    <row r="31" spans="1:5" x14ac:dyDescent="0.3">
      <c r="A31" s="1" t="s">
        <v>209</v>
      </c>
      <c r="B31" s="1">
        <v>18</v>
      </c>
      <c r="C31" s="1">
        <v>50</v>
      </c>
      <c r="D31" s="1"/>
      <c r="E31" s="1"/>
    </row>
    <row r="32" spans="1:5" x14ac:dyDescent="0.3">
      <c r="A32" s="1" t="s">
        <v>214</v>
      </c>
      <c r="B32" s="1">
        <v>38</v>
      </c>
      <c r="C32" s="1"/>
      <c r="D32" s="1"/>
    </row>
    <row r="33" spans="1:5" x14ac:dyDescent="0.3">
      <c r="A33" s="3" t="s">
        <v>217</v>
      </c>
      <c r="B33" s="1"/>
      <c r="C33" s="1"/>
      <c r="D33" s="1"/>
    </row>
    <row r="34" spans="1:5" x14ac:dyDescent="0.3">
      <c r="A34" s="1"/>
      <c r="B34" s="1"/>
      <c r="C34" s="1"/>
      <c r="D34" s="1"/>
    </row>
    <row r="35" spans="1:5" x14ac:dyDescent="0.3">
      <c r="A35" s="1" t="s">
        <v>214</v>
      </c>
      <c r="B35" s="1">
        <v>38</v>
      </c>
      <c r="C35" s="1"/>
      <c r="D35" s="1"/>
    </row>
    <row r="36" spans="1:5" x14ac:dyDescent="0.3">
      <c r="A36" s="3" t="s">
        <v>224</v>
      </c>
      <c r="B36" s="1"/>
      <c r="C36" s="1"/>
      <c r="D36" s="1"/>
    </row>
    <row r="37" spans="1:5" x14ac:dyDescent="0.3">
      <c r="A37" s="1" t="s">
        <v>214</v>
      </c>
      <c r="B37" s="1">
        <v>20</v>
      </c>
      <c r="C37" s="1">
        <v>50</v>
      </c>
      <c r="D37" s="1"/>
    </row>
    <row r="38" spans="1:5" x14ac:dyDescent="0.3">
      <c r="A38" s="1" t="s">
        <v>209</v>
      </c>
      <c r="B38" s="1">
        <v>20</v>
      </c>
      <c r="C38" s="1"/>
      <c r="D38" s="1"/>
    </row>
    <row r="39" spans="1:5" x14ac:dyDescent="0.3">
      <c r="A39" s="1" t="s">
        <v>235</v>
      </c>
      <c r="B39" s="1">
        <v>100</v>
      </c>
      <c r="C39" s="1"/>
      <c r="D39" s="1">
        <v>0.8</v>
      </c>
      <c r="E39" s="1">
        <v>0.8</v>
      </c>
    </row>
    <row r="40" spans="1:5" x14ac:dyDescent="0.3">
      <c r="A40" s="1" t="s">
        <v>209</v>
      </c>
      <c r="B40" s="1">
        <v>38</v>
      </c>
      <c r="C40" s="1"/>
      <c r="D40" s="1"/>
      <c r="E40" s="1"/>
    </row>
    <row r="41" spans="1:5" x14ac:dyDescent="0.3">
      <c r="A41" s="1" t="s">
        <v>209</v>
      </c>
      <c r="B41" s="1">
        <v>38</v>
      </c>
      <c r="C41" s="1"/>
      <c r="D41" s="1"/>
      <c r="E41" s="1"/>
    </row>
    <row r="42" spans="1:5" x14ac:dyDescent="0.3">
      <c r="A42" s="1" t="s">
        <v>209</v>
      </c>
      <c r="B42" s="1">
        <v>20</v>
      </c>
      <c r="C42" s="1"/>
      <c r="D42" s="1"/>
      <c r="E42" s="1"/>
    </row>
    <row r="43" spans="1:5" x14ac:dyDescent="0.3">
      <c r="A43" s="1" t="s">
        <v>248</v>
      </c>
      <c r="B43" s="1">
        <v>100</v>
      </c>
      <c r="C43" s="1"/>
      <c r="D43" s="1">
        <v>3</v>
      </c>
      <c r="E43" s="1">
        <v>3</v>
      </c>
    </row>
    <row r="44" spans="1:5" x14ac:dyDescent="0.3">
      <c r="A44" s="1" t="s">
        <v>209</v>
      </c>
      <c r="B44" s="1">
        <v>20</v>
      </c>
      <c r="C44" s="1"/>
      <c r="D44" s="1"/>
      <c r="E44" s="1"/>
    </row>
    <row r="45" spans="1:5" x14ac:dyDescent="0.3">
      <c r="A45" s="1" t="s">
        <v>209</v>
      </c>
      <c r="B45" s="1">
        <v>20</v>
      </c>
      <c r="C45" s="1"/>
      <c r="D45" s="1"/>
      <c r="E45" s="1"/>
    </row>
    <row r="46" spans="1:5" x14ac:dyDescent="0.3">
      <c r="A46" s="1" t="s">
        <v>209</v>
      </c>
      <c r="B46" s="1">
        <v>20</v>
      </c>
      <c r="C46" s="1"/>
      <c r="D46" s="1"/>
      <c r="E46" s="1"/>
    </row>
    <row r="47" spans="1:5" x14ac:dyDescent="0.3">
      <c r="A47" s="1" t="s">
        <v>209</v>
      </c>
      <c r="B47" s="1">
        <v>20</v>
      </c>
      <c r="C47" s="1"/>
      <c r="D47" s="1"/>
      <c r="E47" s="1"/>
    </row>
    <row r="48" spans="1:5" x14ac:dyDescent="0.3">
      <c r="A48" s="1" t="s">
        <v>270</v>
      </c>
      <c r="B48" s="1">
        <v>20</v>
      </c>
      <c r="C48" s="1"/>
      <c r="D48" s="1">
        <v>2</v>
      </c>
      <c r="E48" s="1">
        <v>2</v>
      </c>
    </row>
    <row r="49" spans="1:5" x14ac:dyDescent="0.3">
      <c r="A49" s="1" t="s">
        <v>276</v>
      </c>
      <c r="B49" s="1">
        <v>20</v>
      </c>
      <c r="C49" s="1"/>
      <c r="D49" s="1">
        <v>1.8</v>
      </c>
      <c r="E49" s="1">
        <v>1.8</v>
      </c>
    </row>
    <row r="50" spans="1:5" x14ac:dyDescent="0.3">
      <c r="A50" s="1" t="s">
        <v>283</v>
      </c>
      <c r="B50" s="3">
        <v>8</v>
      </c>
      <c r="C50" s="3"/>
      <c r="D50" s="1">
        <v>1</v>
      </c>
      <c r="E50">
        <f>D50*10</f>
        <v>10</v>
      </c>
    </row>
    <row r="51" spans="1:5" x14ac:dyDescent="0.3">
      <c r="A51" s="1" t="s">
        <v>209</v>
      </c>
      <c r="B51" s="1">
        <v>20</v>
      </c>
      <c r="C51" s="1"/>
      <c r="D51" s="1"/>
    </row>
    <row r="52" spans="1:5" x14ac:dyDescent="0.3">
      <c r="A52" s="1" t="s">
        <v>292</v>
      </c>
      <c r="B52" s="1">
        <v>10</v>
      </c>
      <c r="C52" s="1"/>
      <c r="D52" s="1">
        <v>9</v>
      </c>
    </row>
    <row r="53" spans="1:5" x14ac:dyDescent="0.3">
      <c r="A53" s="5" t="s">
        <v>16</v>
      </c>
      <c r="B53" s="1">
        <v>5</v>
      </c>
      <c r="C53" s="1"/>
      <c r="D53" s="1">
        <v>2</v>
      </c>
    </row>
    <row r="54" spans="1:5" x14ac:dyDescent="0.3">
      <c r="A54" s="1" t="s">
        <v>307</v>
      </c>
      <c r="B54" s="3">
        <v>6</v>
      </c>
      <c r="C54" s="3"/>
      <c r="D54" s="1">
        <f>3.87*6+5</f>
        <v>28.22</v>
      </c>
      <c r="E54">
        <f>4*10+5</f>
        <v>45</v>
      </c>
    </row>
  </sheetData>
  <phoneticPr fontId="9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Worksheet</vt:lpstr>
      <vt:lpstr>Sheet1</vt:lpstr>
      <vt:lpstr>Sheet2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昌金 李</cp:lastModifiedBy>
  <dcterms:created xsi:type="dcterms:W3CDTF">2023-12-31T11:06:00Z</dcterms:created>
  <dcterms:modified xsi:type="dcterms:W3CDTF">2025-12-23T11:07:00Z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C22A787ADB6B44B387967032289D7FEB_13</vt:lpwstr>
  </property>
  <property fmtid="{D5CDD505-2E9C-101B-9397-08002B2CF9AE}" pid="3" name="KSOProductBuildVer">
    <vt:lpwstr>2052-12.1.0.19302</vt:lpwstr>
  </property>
</Properties>
</file>