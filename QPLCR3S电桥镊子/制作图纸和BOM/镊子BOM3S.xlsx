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8A08E99-3C7D-455F-8A63-093F2B687F70}" xr6:coauthVersionLast="47" xr6:coauthVersionMax="47" xr10:uidLastSave="{00000000-0000-0000-0000-000000000000}"/>
  <bookViews>
    <workbookView xWindow="-108" yWindow="-108" windowWidth="23256" windowHeight="12576" xr2:uid="{0A081460-3D11-4BBB-BA51-449DC1782DB8}"/>
  </bookViews>
  <sheets>
    <sheet name="LcrMeter.1-3S" sheetId="1" r:id="rId1"/>
  </sheets>
  <definedNames>
    <definedName name="_xlnm.Print_Area" localSheetId="0">'LcrMeter.1-3S'!$A$1:$F$32</definedName>
    <definedName name="_xlnm.Print_Titles" localSheetId="0">'LcrMeter.1-3S'!$1:$1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H33" i="1" l="1"/>
</calcChain>
</file>

<file path=xl/sharedStrings.xml><?xml version="1.0" encoding="utf-8"?>
<sst xmlns="http://schemas.openxmlformats.org/spreadsheetml/2006/main" count="153" uniqueCount="134">
  <si>
    <t>10uF</t>
  </si>
  <si>
    <t>C0603</t>
  </si>
  <si>
    <t>0.1uF</t>
  </si>
  <si>
    <t>J7, J8</t>
  </si>
  <si>
    <t>SIP-8-1.27S-4.3</t>
  </si>
  <si>
    <t>L1, L2</t>
  </si>
  <si>
    <t>L0603</t>
  </si>
  <si>
    <t>R1</t>
  </si>
  <si>
    <t>R0603</t>
  </si>
  <si>
    <t>10K/0.1%</t>
  </si>
  <si>
    <t>100R</t>
  </si>
  <si>
    <t>100K</t>
  </si>
  <si>
    <t>R6, R7, R11, R15, R16</t>
  </si>
  <si>
    <t>10K</t>
  </si>
  <si>
    <t>5.1K</t>
  </si>
  <si>
    <t>GS8632</t>
  </si>
  <si>
    <t>U1, U6, U7</t>
  </si>
  <si>
    <t>MSOP-8</t>
  </si>
  <si>
    <t>U3, U4</t>
  </si>
  <si>
    <t>SOT-363</t>
  </si>
  <si>
    <t>AD8605ARTZ</t>
  </si>
  <si>
    <t>U5</t>
  </si>
  <si>
    <t>SOT-23-5</t>
  </si>
  <si>
    <t>U8</t>
  </si>
  <si>
    <t>QFN-48_7*7</t>
  </si>
  <si>
    <t>PGA113AIDGST</t>
  </si>
  <si>
    <t>U9</t>
  </si>
  <si>
    <t>MSOP-10</t>
  </si>
  <si>
    <t>B1</t>
  </si>
  <si>
    <t>BEEP7525</t>
  </si>
  <si>
    <t>1N5819</t>
  </si>
  <si>
    <t>D1, D2</t>
  </si>
  <si>
    <t>SOD-323</t>
  </si>
  <si>
    <t>J1, J2</t>
  </si>
  <si>
    <t>SIP-8-1.27P</t>
  </si>
  <si>
    <t>USB-C/S_A</t>
  </si>
  <si>
    <t>J3</t>
  </si>
  <si>
    <t>USB-C/S_16P</t>
  </si>
  <si>
    <t>J4</t>
  </si>
  <si>
    <t>CH1.25-2AB</t>
  </si>
  <si>
    <t>K1, K2, K3</t>
  </si>
  <si>
    <t>BUTTON3*4*2-4</t>
  </si>
  <si>
    <t>1.14 IPS</t>
  </si>
  <si>
    <t>LCD1</t>
  </si>
  <si>
    <t>TFT-1.14-IPS</t>
  </si>
  <si>
    <t>2N3904</t>
  </si>
  <si>
    <t>Q1, Q3</t>
  </si>
  <si>
    <t>SOT-23</t>
  </si>
  <si>
    <t>AO3401</t>
  </si>
  <si>
    <t>MOS</t>
  </si>
  <si>
    <t>Q2</t>
  </si>
  <si>
    <t>U1</t>
  </si>
  <si>
    <t>SOT-23-6</t>
  </si>
  <si>
    <t>U2</t>
  </si>
  <si>
    <t>规格</t>
    <phoneticPr fontId="1" type="noConversion"/>
  </si>
  <si>
    <t>名称</t>
    <phoneticPr fontId="1" type="noConversion"/>
  </si>
  <si>
    <t>点位</t>
    <phoneticPr fontId="1" type="noConversion"/>
  </si>
  <si>
    <t>封装</t>
    <phoneticPr fontId="1" type="noConversion"/>
  </si>
  <si>
    <t>数量</t>
    <phoneticPr fontId="1" type="noConversion"/>
  </si>
  <si>
    <t>贴片陶瓷电容</t>
    <phoneticPr fontId="1" type="noConversion"/>
  </si>
  <si>
    <t>排母1.27</t>
    <phoneticPr fontId="1" type="noConversion"/>
  </si>
  <si>
    <t>磁珠</t>
    <phoneticPr fontId="1" type="noConversion"/>
  </si>
  <si>
    <t>贴片电阻低温漂</t>
    <phoneticPr fontId="1" type="noConversion"/>
  </si>
  <si>
    <t>芯片</t>
    <phoneticPr fontId="1" type="noConversion"/>
  </si>
  <si>
    <t>贴片电阻</t>
    <phoneticPr fontId="1" type="noConversion"/>
  </si>
  <si>
    <t>蜂鸣器</t>
    <phoneticPr fontId="1" type="noConversion"/>
  </si>
  <si>
    <t>C座</t>
    <phoneticPr fontId="1" type="noConversion"/>
  </si>
  <si>
    <t>贴片座1.25</t>
    <phoneticPr fontId="1" type="noConversion"/>
  </si>
  <si>
    <t>按键</t>
    <phoneticPr fontId="1" type="noConversion"/>
  </si>
  <si>
    <t>屏幕</t>
    <phoneticPr fontId="1" type="noConversion"/>
  </si>
  <si>
    <t>三极管</t>
    <phoneticPr fontId="1" type="noConversion"/>
  </si>
  <si>
    <t>排针1.27</t>
    <phoneticPr fontId="1" type="noConversion"/>
  </si>
  <si>
    <t>二极管</t>
    <phoneticPr fontId="1" type="noConversion"/>
  </si>
  <si>
    <t>CH1.25-2P/立贴</t>
    <phoneticPr fontId="1" type="noConversion"/>
  </si>
  <si>
    <t>间距1.27/塑高4.3</t>
    <phoneticPr fontId="1" type="noConversion"/>
  </si>
  <si>
    <t>宽20长30厚5</t>
    <phoneticPr fontId="1" type="noConversion"/>
  </si>
  <si>
    <t>电池</t>
    <phoneticPr fontId="1" type="noConversion"/>
  </si>
  <si>
    <t>PLAF</t>
    <phoneticPr fontId="1" type="noConversion"/>
  </si>
  <si>
    <t>外壳</t>
    <phoneticPr fontId="1" type="noConversion"/>
  </si>
  <si>
    <t>贴片3*4*2四脚</t>
    <phoneticPr fontId="1" type="noConversion"/>
  </si>
  <si>
    <t>C1, C3,                 C2, C3，C4, C5</t>
    <phoneticPr fontId="1" type="noConversion"/>
  </si>
  <si>
    <t>R13,                   R1, R2, R3, R6, R7</t>
    <phoneticPr fontId="1" type="noConversion"/>
  </si>
  <si>
    <t>TP4054</t>
    <phoneticPr fontId="1" type="noConversion"/>
  </si>
  <si>
    <t>R3, R4, R5,R8, R9, R10,                    R4</t>
    <phoneticPr fontId="1" type="noConversion"/>
  </si>
  <si>
    <t>C2, C5, C6, C7, C8, C9, C10, C12, C13, C14, C15, C16，    C1</t>
    <phoneticPr fontId="1" type="noConversion"/>
  </si>
  <si>
    <t>PCB</t>
    <phoneticPr fontId="1" type="noConversion"/>
  </si>
  <si>
    <t>端子线</t>
    <phoneticPr fontId="1" type="noConversion"/>
  </si>
  <si>
    <t>1.25端子线2P</t>
    <phoneticPr fontId="1" type="noConversion"/>
  </si>
  <si>
    <t>5.6*2*1.0</t>
    <phoneticPr fontId="1" type="noConversion"/>
  </si>
  <si>
    <t>CH443K</t>
    <phoneticPr fontId="1" type="noConversion"/>
  </si>
  <si>
    <t>直脚1.27/8P/塑高1.7</t>
    <phoneticPr fontId="1" type="noConversion"/>
  </si>
  <si>
    <t>立创料号</t>
    <phoneticPr fontId="1" type="noConversion"/>
  </si>
  <si>
    <t xml:space="preserve">C318893   </t>
    <phoneticPr fontId="1" type="noConversion"/>
  </si>
  <si>
    <t>C395343</t>
    <phoneticPr fontId="1" type="noConversion"/>
  </si>
  <si>
    <t>C1591</t>
    <phoneticPr fontId="1" type="noConversion"/>
  </si>
  <si>
    <t>C2922482</t>
    <phoneticPr fontId="1" type="noConversion"/>
  </si>
  <si>
    <t>USB座</t>
    <phoneticPr fontId="1" type="noConversion"/>
  </si>
  <si>
    <t>OPPO-A-5P</t>
    <phoneticPr fontId="1" type="noConversion"/>
  </si>
  <si>
    <t>C35061</t>
    <phoneticPr fontId="1" type="noConversion"/>
  </si>
  <si>
    <t>1000欧@100MHz</t>
    <phoneticPr fontId="1" type="noConversion"/>
  </si>
  <si>
    <t>100R/0.1%</t>
    <phoneticPr fontId="1" type="noConversion"/>
  </si>
  <si>
    <t>C122970</t>
    <phoneticPr fontId="1" type="noConversion"/>
  </si>
  <si>
    <t>C319939</t>
    <phoneticPr fontId="1" type="noConversion"/>
  </si>
  <si>
    <t>C105588</t>
    <phoneticPr fontId="1" type="noConversion"/>
  </si>
  <si>
    <t>C25803</t>
    <phoneticPr fontId="1" type="noConversion"/>
  </si>
  <si>
    <t>C98220</t>
    <phoneticPr fontId="1" type="noConversion"/>
  </si>
  <si>
    <t>C105580</t>
    <phoneticPr fontId="1" type="noConversion"/>
  </si>
  <si>
    <t>C157704</t>
    <phoneticPr fontId="1" type="noConversion"/>
  </si>
  <si>
    <t>C125185</t>
    <phoneticPr fontId="1" type="noConversion"/>
  </si>
  <si>
    <t>C157715</t>
    <phoneticPr fontId="1" type="noConversion"/>
  </si>
  <si>
    <t>STM32F071CBU6</t>
    <phoneticPr fontId="1" type="noConversion"/>
  </si>
  <si>
    <t>C2927280</t>
    <phoneticPr fontId="1" type="noConversion"/>
  </si>
  <si>
    <t>C963413</t>
    <phoneticPr fontId="1" type="noConversion"/>
  </si>
  <si>
    <t>C727127</t>
    <phoneticPr fontId="1" type="noConversion"/>
  </si>
  <si>
    <t>C393520</t>
    <phoneticPr fontId="1" type="noConversion"/>
  </si>
  <si>
    <t>C296277</t>
    <phoneticPr fontId="1" type="noConversion"/>
  </si>
  <si>
    <t>XC6206P332MR</t>
    <phoneticPr fontId="1" type="noConversion"/>
  </si>
  <si>
    <t>C347376</t>
    <phoneticPr fontId="1" type="noConversion"/>
  </si>
  <si>
    <t>https://detail.tmall.com/item.htm?id=21166115176</t>
    <phoneticPr fontId="1" type="noConversion"/>
  </si>
  <si>
    <t>https://www.sanweihou.com/</t>
    <phoneticPr fontId="1" type="noConversion"/>
  </si>
  <si>
    <t>https://www.jlc.com/</t>
    <phoneticPr fontId="1" type="noConversion"/>
  </si>
  <si>
    <t>https://item.taobao.com/item.htm?id=628080019252</t>
  </si>
  <si>
    <t>https://item.taobao.com/item.htm?id=592944350826</t>
  </si>
  <si>
    <t>https://detail.tmall.com/item.htm?id=644647170790</t>
  </si>
  <si>
    <t>https://item.taobao.com/item.htm?id=627171480527</t>
  </si>
  <si>
    <t>https://detail.tmall.com/item.htm?id=645854239534</t>
  </si>
  <si>
    <t>https://item.taobao.com/item.htm?id=599913129497</t>
  </si>
  <si>
    <t>单价</t>
    <phoneticPr fontId="1" type="noConversion"/>
  </si>
  <si>
    <t>价格</t>
    <phoneticPr fontId="1" type="noConversion"/>
  </si>
  <si>
    <t>MLT-7525</t>
    <phoneticPr fontId="1" type="noConversion"/>
  </si>
  <si>
    <t>C95299</t>
    <phoneticPr fontId="1" type="noConversion"/>
  </si>
  <si>
    <t>R2</t>
    <phoneticPr fontId="1" type="noConversion"/>
  </si>
  <si>
    <t>R12, R14,R17, R18, R19, R20, R21, R22, R23, R24        'R5, R8, R9</t>
    <phoneticPr fontId="1" type="noConversion"/>
  </si>
  <si>
    <t>https://item.taobao.com/item.htm?id=620182547275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</si>
</sst>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2" xfId="0" applyBorder="1">
      <alignment vertical="center"/>
    </xf>
    <xf numFmtId="0" fontId="2" fillId="0" borderId="1" xfId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3" borderId="1" xfId="0" quotePrefix="1" applyFill="1" applyBorder="1">
      <alignment vertical="center"/>
    </xf>
    <xf numFmtId="0" fontId="0" fillId="4" borderId="1" xfId="0" quotePrefix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lc.com/" TargetMode="External"/><Relationship Id="rId2" Type="http://schemas.openxmlformats.org/officeDocument/2006/relationships/hyperlink" Target="https://www.sanweihou.com/" TargetMode="External"/><Relationship Id="rId1" Type="http://schemas.openxmlformats.org/officeDocument/2006/relationships/hyperlink" Target="https://detail.tmall.com/item.htm?id=21166115176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tem.taobao.com/item.htm?id=6201825472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2967-1C9D-4CAB-888F-605C176453B9}">
  <sheetPr>
    <pageSetUpPr fitToPage="1"/>
  </sheetPr>
  <dimension ref="A1:H44"/>
  <sheetViews>
    <sheetView tabSelected="1" view="pageBreakPreview" topLeftCell="A19" zoomScaleNormal="100" zoomScaleSheetLayoutView="100" workbookViewId="0">
      <selection activeCell="A32" sqref="A32"/>
    </sheetView>
  </sheetViews>
  <sheetFormatPr defaultRowHeight="13.8" x14ac:dyDescent="0.25"/>
  <cols>
    <col min="1" max="1" width="19.109375" bestFit="1" customWidth="1"/>
    <col min="2" max="2" width="15.109375" bestFit="1" customWidth="1"/>
    <col min="3" max="3" width="57.21875" bestFit="1" customWidth="1"/>
    <col min="4" max="4" width="15.44140625" bestFit="1" customWidth="1"/>
    <col min="5" max="5" width="5.21875" bestFit="1" customWidth="1"/>
    <col min="6" max="6" width="0.88671875" customWidth="1"/>
  </cols>
  <sheetData>
    <row r="1" spans="1:8" s="4" customFormat="1" ht="20.100000000000001" customHeight="1" x14ac:dyDescent="0.25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4" t="s">
        <v>91</v>
      </c>
      <c r="G1" s="7" t="s">
        <v>127</v>
      </c>
      <c r="H1" s="7" t="s">
        <v>128</v>
      </c>
    </row>
    <row r="2" spans="1:8" ht="20.100000000000001" customHeight="1" x14ac:dyDescent="0.25">
      <c r="A2" s="9" t="s">
        <v>0</v>
      </c>
      <c r="B2" s="2" t="s">
        <v>59</v>
      </c>
      <c r="C2" s="2" t="s">
        <v>80</v>
      </c>
      <c r="D2" s="2" t="s">
        <v>1</v>
      </c>
      <c r="E2" s="5">
        <v>6</v>
      </c>
      <c r="F2" s="1" t="s">
        <v>95</v>
      </c>
      <c r="G2" s="1">
        <v>0.03</v>
      </c>
      <c r="H2" s="1">
        <f>G2*E2</f>
        <v>0.18</v>
      </c>
    </row>
    <row r="3" spans="1:8" ht="20.100000000000001" customHeight="1" x14ac:dyDescent="0.25">
      <c r="A3" s="9" t="s">
        <v>2</v>
      </c>
      <c r="B3" s="2" t="s">
        <v>59</v>
      </c>
      <c r="C3" s="2" t="s">
        <v>84</v>
      </c>
      <c r="D3" s="2" t="s">
        <v>1</v>
      </c>
      <c r="E3" s="5">
        <v>13</v>
      </c>
      <c r="F3" s="1" t="s">
        <v>94</v>
      </c>
      <c r="G3" s="1">
        <v>0.03</v>
      </c>
      <c r="H3" s="1">
        <f t="shared" ref="H3:H32" si="0">G3*E3</f>
        <v>0.39</v>
      </c>
    </row>
    <row r="4" spans="1:8" ht="20.100000000000001" customHeight="1" x14ac:dyDescent="0.25">
      <c r="A4" s="2" t="s">
        <v>74</v>
      </c>
      <c r="B4" s="2" t="s">
        <v>60</v>
      </c>
      <c r="C4" s="2" t="s">
        <v>3</v>
      </c>
      <c r="D4" s="2" t="s">
        <v>4</v>
      </c>
      <c r="E4" s="5">
        <v>2</v>
      </c>
      <c r="F4" s="6" t="s">
        <v>123</v>
      </c>
      <c r="G4" s="1">
        <v>0.1</v>
      </c>
      <c r="H4" s="1">
        <f t="shared" si="0"/>
        <v>0.2</v>
      </c>
    </row>
    <row r="5" spans="1:8" ht="20.100000000000001" customHeight="1" x14ac:dyDescent="0.25">
      <c r="A5" s="2" t="s">
        <v>99</v>
      </c>
      <c r="B5" s="2" t="s">
        <v>61</v>
      </c>
      <c r="C5" s="2" t="s">
        <v>5</v>
      </c>
      <c r="D5" s="2" t="s">
        <v>6</v>
      </c>
      <c r="E5" s="5">
        <v>2</v>
      </c>
      <c r="F5" s="1" t="s">
        <v>98</v>
      </c>
      <c r="G5" s="1">
        <v>0.03</v>
      </c>
      <c r="H5" s="1">
        <f t="shared" si="0"/>
        <v>0.06</v>
      </c>
    </row>
    <row r="6" spans="1:8" ht="20.100000000000001" customHeight="1" x14ac:dyDescent="0.25">
      <c r="A6" s="10" t="s">
        <v>100</v>
      </c>
      <c r="B6" s="2" t="s">
        <v>62</v>
      </c>
      <c r="C6" s="2" t="s">
        <v>7</v>
      </c>
      <c r="D6" s="2" t="s">
        <v>8</v>
      </c>
      <c r="E6" s="5">
        <v>1</v>
      </c>
      <c r="F6" s="1" t="s">
        <v>101</v>
      </c>
      <c r="G6" s="1">
        <v>0.1</v>
      </c>
      <c r="H6" s="1">
        <f t="shared" si="0"/>
        <v>0.1</v>
      </c>
    </row>
    <row r="7" spans="1:8" ht="20.100000000000001" customHeight="1" x14ac:dyDescent="0.25">
      <c r="A7" s="10" t="s">
        <v>9</v>
      </c>
      <c r="B7" s="2" t="s">
        <v>62</v>
      </c>
      <c r="C7" s="2" t="s">
        <v>131</v>
      </c>
      <c r="D7" s="2" t="s">
        <v>8</v>
      </c>
      <c r="E7" s="5">
        <v>9</v>
      </c>
      <c r="F7" s="1" t="s">
        <v>102</v>
      </c>
      <c r="G7" s="1">
        <v>0.1</v>
      </c>
      <c r="H7" s="1">
        <f t="shared" si="0"/>
        <v>0.9</v>
      </c>
    </row>
    <row r="8" spans="1:8" ht="20.100000000000001" customHeight="1" x14ac:dyDescent="0.25">
      <c r="A8" s="9" t="s">
        <v>10</v>
      </c>
      <c r="B8" s="2" t="s">
        <v>64</v>
      </c>
      <c r="C8" s="2" t="s">
        <v>83</v>
      </c>
      <c r="D8" s="2" t="s">
        <v>8</v>
      </c>
      <c r="E8" s="5">
        <v>7</v>
      </c>
      <c r="F8" s="1" t="s">
        <v>103</v>
      </c>
      <c r="G8" s="1">
        <v>0.01</v>
      </c>
      <c r="H8" s="1">
        <f t="shared" si="0"/>
        <v>7.0000000000000007E-2</v>
      </c>
    </row>
    <row r="9" spans="1:8" ht="20.100000000000001" customHeight="1" x14ac:dyDescent="0.25">
      <c r="A9" s="9" t="s">
        <v>11</v>
      </c>
      <c r="B9" s="2" t="s">
        <v>64</v>
      </c>
      <c r="C9" s="2" t="s">
        <v>12</v>
      </c>
      <c r="D9" s="2" t="s">
        <v>8</v>
      </c>
      <c r="E9" s="5">
        <v>5</v>
      </c>
      <c r="F9" s="1" t="s">
        <v>104</v>
      </c>
      <c r="G9" s="1">
        <v>0.01</v>
      </c>
      <c r="H9" s="1">
        <f t="shared" si="0"/>
        <v>0.05</v>
      </c>
    </row>
    <row r="10" spans="1:8" ht="20.100000000000001" customHeight="1" x14ac:dyDescent="0.25">
      <c r="A10" s="9" t="s">
        <v>13</v>
      </c>
      <c r="B10" s="2" t="s">
        <v>64</v>
      </c>
      <c r="C10" s="2" t="s">
        <v>132</v>
      </c>
      <c r="D10" s="2" t="s">
        <v>8</v>
      </c>
      <c r="E10" s="5">
        <v>13</v>
      </c>
      <c r="F10" s="1" t="s">
        <v>105</v>
      </c>
      <c r="G10" s="1">
        <v>0.01</v>
      </c>
      <c r="H10" s="1">
        <f t="shared" si="0"/>
        <v>0.13</v>
      </c>
    </row>
    <row r="11" spans="1:8" ht="20.100000000000001" customHeight="1" x14ac:dyDescent="0.25">
      <c r="A11" s="9" t="s">
        <v>14</v>
      </c>
      <c r="B11" s="2" t="s">
        <v>64</v>
      </c>
      <c r="C11" s="2" t="s">
        <v>81</v>
      </c>
      <c r="D11" s="2" t="s">
        <v>8</v>
      </c>
      <c r="E11" s="5">
        <v>6</v>
      </c>
      <c r="F11" s="1" t="s">
        <v>106</v>
      </c>
      <c r="G11" s="1">
        <v>0.01</v>
      </c>
      <c r="H11" s="1">
        <f t="shared" si="0"/>
        <v>0.06</v>
      </c>
    </row>
    <row r="12" spans="1:8" ht="20.100000000000001" customHeight="1" x14ac:dyDescent="0.25">
      <c r="A12" s="2" t="s">
        <v>15</v>
      </c>
      <c r="B12" s="2" t="s">
        <v>63</v>
      </c>
      <c r="C12" s="2" t="s">
        <v>16</v>
      </c>
      <c r="D12" s="2" t="s">
        <v>17</v>
      </c>
      <c r="E12" s="5">
        <v>3</v>
      </c>
      <c r="F12" s="1" t="s">
        <v>107</v>
      </c>
      <c r="G12" s="1">
        <v>0.61</v>
      </c>
      <c r="H12" s="1">
        <f t="shared" si="0"/>
        <v>1.83</v>
      </c>
    </row>
    <row r="13" spans="1:8" ht="20.100000000000001" customHeight="1" x14ac:dyDescent="0.25">
      <c r="A13" s="2" t="s">
        <v>89</v>
      </c>
      <c r="B13" s="2" t="s">
        <v>63</v>
      </c>
      <c r="C13" s="2" t="s">
        <v>18</v>
      </c>
      <c r="D13" s="2" t="s">
        <v>19</v>
      </c>
      <c r="E13" s="5">
        <v>2</v>
      </c>
      <c r="F13" s="1" t="s">
        <v>108</v>
      </c>
      <c r="G13" s="1">
        <v>0.22</v>
      </c>
      <c r="H13" s="1">
        <f t="shared" si="0"/>
        <v>0.44</v>
      </c>
    </row>
    <row r="14" spans="1:8" ht="20.100000000000001" customHeight="1" x14ac:dyDescent="0.25">
      <c r="A14" s="2" t="s">
        <v>20</v>
      </c>
      <c r="B14" s="2" t="s">
        <v>63</v>
      </c>
      <c r="C14" s="2" t="s">
        <v>21</v>
      </c>
      <c r="D14" s="2" t="s">
        <v>22</v>
      </c>
      <c r="E14" s="5">
        <v>1</v>
      </c>
      <c r="F14" s="1" t="s">
        <v>109</v>
      </c>
      <c r="G14" s="1">
        <v>0.6</v>
      </c>
      <c r="H14" s="1">
        <f t="shared" si="0"/>
        <v>0.6</v>
      </c>
    </row>
    <row r="15" spans="1:8" ht="20.100000000000001" customHeight="1" x14ac:dyDescent="0.25">
      <c r="A15" s="2" t="s">
        <v>110</v>
      </c>
      <c r="B15" s="2" t="s">
        <v>63</v>
      </c>
      <c r="C15" s="2" t="s">
        <v>23</v>
      </c>
      <c r="D15" s="2" t="s">
        <v>24</v>
      </c>
      <c r="E15" s="5">
        <v>1</v>
      </c>
      <c r="F15" s="6" t="s">
        <v>124</v>
      </c>
      <c r="G15" s="1">
        <v>3.5</v>
      </c>
      <c r="H15" s="1">
        <f t="shared" si="0"/>
        <v>3.5</v>
      </c>
    </row>
    <row r="16" spans="1:8" ht="20.100000000000001" customHeight="1" x14ac:dyDescent="0.25">
      <c r="A16" s="2" t="s">
        <v>25</v>
      </c>
      <c r="B16" s="2" t="s">
        <v>63</v>
      </c>
      <c r="C16" s="2" t="s">
        <v>26</v>
      </c>
      <c r="D16" s="2" t="s">
        <v>27</v>
      </c>
      <c r="E16" s="5">
        <v>1</v>
      </c>
      <c r="F16" s="6" t="s">
        <v>121</v>
      </c>
      <c r="G16" s="1">
        <v>7.5</v>
      </c>
      <c r="H16" s="1">
        <f t="shared" si="0"/>
        <v>7.5</v>
      </c>
    </row>
    <row r="17" spans="1:8" ht="20.100000000000001" customHeight="1" x14ac:dyDescent="0.25">
      <c r="A17" s="2" t="s">
        <v>129</v>
      </c>
      <c r="B17" s="2" t="s">
        <v>65</v>
      </c>
      <c r="C17" s="2" t="s">
        <v>28</v>
      </c>
      <c r="D17" s="2" t="s">
        <v>29</v>
      </c>
      <c r="E17" s="5">
        <v>1</v>
      </c>
      <c r="F17" s="1" t="s">
        <v>130</v>
      </c>
      <c r="G17" s="1">
        <v>0.7</v>
      </c>
      <c r="H17" s="1">
        <f t="shared" si="0"/>
        <v>0.7</v>
      </c>
    </row>
    <row r="18" spans="1:8" ht="20.100000000000001" customHeight="1" x14ac:dyDescent="0.25">
      <c r="A18" s="9" t="s">
        <v>30</v>
      </c>
      <c r="B18" s="2" t="s">
        <v>72</v>
      </c>
      <c r="C18" s="2" t="s">
        <v>31</v>
      </c>
      <c r="D18" s="2" t="s">
        <v>32</v>
      </c>
      <c r="E18" s="5">
        <v>2</v>
      </c>
      <c r="F18" s="1" t="s">
        <v>111</v>
      </c>
      <c r="G18" s="1">
        <v>0.02</v>
      </c>
      <c r="H18" s="1">
        <f t="shared" si="0"/>
        <v>0.04</v>
      </c>
    </row>
    <row r="19" spans="1:8" ht="20.100000000000001" customHeight="1" x14ac:dyDescent="0.25">
      <c r="A19" s="2" t="s">
        <v>90</v>
      </c>
      <c r="B19" s="2" t="s">
        <v>71</v>
      </c>
      <c r="C19" s="2" t="s">
        <v>33</v>
      </c>
      <c r="D19" s="2" t="s">
        <v>34</v>
      </c>
      <c r="E19" s="5">
        <v>2</v>
      </c>
      <c r="F19" s="6" t="s">
        <v>125</v>
      </c>
      <c r="G19" s="1">
        <v>0.1</v>
      </c>
      <c r="H19" s="1">
        <f t="shared" si="0"/>
        <v>0.2</v>
      </c>
    </row>
    <row r="20" spans="1:8" ht="20.100000000000001" customHeight="1" x14ac:dyDescent="0.25">
      <c r="A20" s="9" t="s">
        <v>35</v>
      </c>
      <c r="B20" s="2" t="s">
        <v>66</v>
      </c>
      <c r="C20" s="2" t="s">
        <v>36</v>
      </c>
      <c r="D20" s="2" t="s">
        <v>37</v>
      </c>
      <c r="E20" s="5">
        <v>1</v>
      </c>
      <c r="F20" s="1" t="s">
        <v>112</v>
      </c>
      <c r="G20" s="1">
        <v>0.4</v>
      </c>
      <c r="H20" s="1">
        <f t="shared" si="0"/>
        <v>0.4</v>
      </c>
    </row>
    <row r="21" spans="1:8" ht="20.100000000000001" customHeight="1" x14ac:dyDescent="0.25">
      <c r="A21" s="2" t="s">
        <v>73</v>
      </c>
      <c r="B21" s="2" t="s">
        <v>67</v>
      </c>
      <c r="C21" s="2" t="s">
        <v>38</v>
      </c>
      <c r="D21" s="2" t="s">
        <v>39</v>
      </c>
      <c r="E21" s="5">
        <v>1</v>
      </c>
      <c r="F21" s="1" t="s">
        <v>93</v>
      </c>
      <c r="G21" s="1">
        <v>0.05</v>
      </c>
      <c r="H21" s="1">
        <f t="shared" si="0"/>
        <v>0.05</v>
      </c>
    </row>
    <row r="22" spans="1:8" ht="20.100000000000001" customHeight="1" x14ac:dyDescent="0.25">
      <c r="A22" s="2" t="s">
        <v>79</v>
      </c>
      <c r="B22" s="2" t="s">
        <v>68</v>
      </c>
      <c r="C22" s="2" t="s">
        <v>40</v>
      </c>
      <c r="D22" s="2" t="s">
        <v>41</v>
      </c>
      <c r="E22" s="5">
        <v>3</v>
      </c>
      <c r="F22" s="1" t="s">
        <v>92</v>
      </c>
      <c r="G22" s="1">
        <v>0.05</v>
      </c>
      <c r="H22" s="1">
        <f t="shared" si="0"/>
        <v>0.15000000000000002</v>
      </c>
    </row>
    <row r="23" spans="1:8" ht="20.100000000000001" customHeight="1" x14ac:dyDescent="0.25">
      <c r="A23" s="2" t="s">
        <v>42</v>
      </c>
      <c r="B23" s="2" t="s">
        <v>69</v>
      </c>
      <c r="C23" s="2" t="s">
        <v>43</v>
      </c>
      <c r="D23" s="2" t="s">
        <v>44</v>
      </c>
      <c r="E23" s="5">
        <v>1</v>
      </c>
      <c r="F23" s="6" t="s">
        <v>122</v>
      </c>
      <c r="G23" s="1">
        <v>12</v>
      </c>
      <c r="H23" s="1">
        <f t="shared" si="0"/>
        <v>12</v>
      </c>
    </row>
    <row r="24" spans="1:8" ht="20.100000000000001" customHeight="1" x14ac:dyDescent="0.25">
      <c r="A24" s="2" t="s">
        <v>45</v>
      </c>
      <c r="B24" s="2" t="s">
        <v>70</v>
      </c>
      <c r="C24" s="2" t="s">
        <v>46</v>
      </c>
      <c r="D24" s="2" t="s">
        <v>47</v>
      </c>
      <c r="E24" s="5">
        <v>2</v>
      </c>
      <c r="F24" s="1" t="s">
        <v>113</v>
      </c>
      <c r="G24" s="1">
        <v>0.05</v>
      </c>
      <c r="H24" s="1">
        <f t="shared" si="0"/>
        <v>0.1</v>
      </c>
    </row>
    <row r="25" spans="1:8" ht="20.100000000000001" customHeight="1" x14ac:dyDescent="0.25">
      <c r="A25" s="9" t="s">
        <v>48</v>
      </c>
      <c r="B25" s="2" t="s">
        <v>49</v>
      </c>
      <c r="C25" s="2" t="s">
        <v>50</v>
      </c>
      <c r="D25" s="2" t="s">
        <v>47</v>
      </c>
      <c r="E25" s="5">
        <v>1</v>
      </c>
      <c r="F25" s="1" t="s">
        <v>114</v>
      </c>
      <c r="G25" s="1">
        <v>0.1</v>
      </c>
      <c r="H25" s="1">
        <f t="shared" si="0"/>
        <v>0.1</v>
      </c>
    </row>
    <row r="26" spans="1:8" ht="20.100000000000001" customHeight="1" x14ac:dyDescent="0.25">
      <c r="A26" s="2" t="s">
        <v>82</v>
      </c>
      <c r="B26" s="2" t="s">
        <v>63</v>
      </c>
      <c r="C26" s="2" t="s">
        <v>51</v>
      </c>
      <c r="D26" s="2" t="s">
        <v>52</v>
      </c>
      <c r="E26" s="5">
        <v>1</v>
      </c>
      <c r="F26" s="1" t="s">
        <v>115</v>
      </c>
      <c r="G26" s="1">
        <v>0.4</v>
      </c>
      <c r="H26" s="1">
        <f t="shared" si="0"/>
        <v>0.4</v>
      </c>
    </row>
    <row r="27" spans="1:8" ht="20.100000000000001" customHeight="1" x14ac:dyDescent="0.25">
      <c r="A27" s="2" t="s">
        <v>116</v>
      </c>
      <c r="B27" s="2" t="s">
        <v>63</v>
      </c>
      <c r="C27" s="2" t="s">
        <v>53</v>
      </c>
      <c r="D27" s="2" t="s">
        <v>47</v>
      </c>
      <c r="E27" s="5">
        <v>1</v>
      </c>
      <c r="F27" s="1" t="s">
        <v>117</v>
      </c>
      <c r="G27" s="1">
        <v>0.3</v>
      </c>
      <c r="H27" s="1">
        <f t="shared" si="0"/>
        <v>0.3</v>
      </c>
    </row>
    <row r="28" spans="1:8" ht="20.100000000000001" customHeight="1" x14ac:dyDescent="0.25">
      <c r="A28" s="1" t="s">
        <v>75</v>
      </c>
      <c r="B28" s="1" t="s">
        <v>76</v>
      </c>
      <c r="C28" s="1"/>
      <c r="D28" s="1"/>
      <c r="E28" s="5">
        <v>1</v>
      </c>
      <c r="F28" s="6" t="s">
        <v>118</v>
      </c>
      <c r="G28" s="1">
        <v>2.5</v>
      </c>
      <c r="H28" s="1">
        <f t="shared" si="0"/>
        <v>2.5</v>
      </c>
    </row>
    <row r="29" spans="1:8" ht="20.100000000000001" customHeight="1" x14ac:dyDescent="0.25">
      <c r="A29" s="1" t="s">
        <v>77</v>
      </c>
      <c r="B29" s="1" t="s">
        <v>78</v>
      </c>
      <c r="C29" s="1"/>
      <c r="D29" s="1"/>
      <c r="E29" s="5">
        <v>1</v>
      </c>
      <c r="F29" s="6" t="s">
        <v>119</v>
      </c>
      <c r="G29" s="1">
        <v>3</v>
      </c>
      <c r="H29" s="1">
        <f t="shared" si="0"/>
        <v>3</v>
      </c>
    </row>
    <row r="30" spans="1:8" ht="20.100000000000001" customHeight="1" x14ac:dyDescent="0.25">
      <c r="A30" s="1" t="s">
        <v>88</v>
      </c>
      <c r="B30" s="1" t="s">
        <v>85</v>
      </c>
      <c r="C30" s="1"/>
      <c r="D30" s="1"/>
      <c r="E30" s="5">
        <v>4</v>
      </c>
      <c r="F30" s="6" t="s">
        <v>120</v>
      </c>
      <c r="G30" s="1">
        <v>2</v>
      </c>
      <c r="H30" s="1">
        <f t="shared" si="0"/>
        <v>8</v>
      </c>
    </row>
    <row r="31" spans="1:8" ht="20.100000000000001" customHeight="1" x14ac:dyDescent="0.25">
      <c r="A31" s="1" t="s">
        <v>87</v>
      </c>
      <c r="B31" s="1" t="s">
        <v>86</v>
      </c>
      <c r="C31" s="1"/>
      <c r="D31" s="1"/>
      <c r="E31" s="1">
        <v>1</v>
      </c>
      <c r="F31" s="6" t="s">
        <v>133</v>
      </c>
      <c r="G31" s="1">
        <v>0.1</v>
      </c>
      <c r="H31" s="1">
        <f t="shared" si="0"/>
        <v>0.1</v>
      </c>
    </row>
    <row r="32" spans="1:8" ht="20.100000000000001" customHeight="1" x14ac:dyDescent="0.25">
      <c r="A32" s="1" t="s">
        <v>97</v>
      </c>
      <c r="B32" s="1" t="s">
        <v>96</v>
      </c>
      <c r="C32" s="1"/>
      <c r="D32" s="1"/>
      <c r="E32" s="1">
        <v>1</v>
      </c>
      <c r="F32" s="6" t="s">
        <v>126</v>
      </c>
      <c r="G32" s="1">
        <v>0.8</v>
      </c>
      <c r="H32" s="1">
        <f t="shared" si="0"/>
        <v>0.8</v>
      </c>
    </row>
    <row r="33" spans="8:8" ht="20.100000000000001" customHeight="1" x14ac:dyDescent="0.25">
      <c r="H33" s="8">
        <f>SUM(H2:H32)</f>
        <v>44.849999999999994</v>
      </c>
    </row>
    <row r="34" spans="8:8" ht="20.100000000000001" customHeight="1" x14ac:dyDescent="0.25"/>
    <row r="35" spans="8:8" ht="20.100000000000001" customHeight="1" x14ac:dyDescent="0.25"/>
    <row r="36" spans="8:8" ht="20.100000000000001" customHeight="1" x14ac:dyDescent="0.25"/>
    <row r="37" spans="8:8" ht="20.100000000000001" customHeight="1" x14ac:dyDescent="0.25"/>
    <row r="38" spans="8:8" ht="20.100000000000001" customHeight="1" x14ac:dyDescent="0.25"/>
    <row r="39" spans="8:8" ht="20.100000000000001" customHeight="1" x14ac:dyDescent="0.25"/>
    <row r="40" spans="8:8" ht="20.100000000000001" customHeight="1" x14ac:dyDescent="0.25"/>
    <row r="41" spans="8:8" ht="20.100000000000001" customHeight="1" x14ac:dyDescent="0.25"/>
    <row r="42" spans="8:8" ht="20.100000000000001" customHeight="1" x14ac:dyDescent="0.25"/>
    <row r="43" spans="8:8" ht="20.100000000000001" customHeight="1" x14ac:dyDescent="0.25"/>
    <row r="44" spans="8:8" ht="20.100000000000001" customHeight="1" x14ac:dyDescent="0.25"/>
  </sheetData>
  <phoneticPr fontId="1" type="noConversion"/>
  <hyperlinks>
    <hyperlink ref="F28" r:id="rId1" xr:uid="{D0DF1CD7-CAF7-49FF-8D3E-BB51A8E0F63F}"/>
    <hyperlink ref="F29" r:id="rId2" xr:uid="{1F1F9D41-DF4A-4D50-8E60-4C47F32A7233}"/>
    <hyperlink ref="F30" r:id="rId3" xr:uid="{2EAA3B2E-B308-493E-8535-598179595FA2}"/>
    <hyperlink ref="F31" r:id="rId4" xr:uid="{F73894FA-D95C-4B1C-9A52-FF58BD9F6B87}"/>
  </hyperlinks>
  <pageMargins left="0.7" right="0.7" top="0.75" bottom="0.75" header="0.3" footer="0.3"/>
  <pageSetup paperSize="9" scale="81" orientation="landscape" horizontalDpi="360" verticalDpi="36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LcrMeter.1-3S</vt:lpstr>
      <vt:lpstr>'LcrMeter.1-3S'!Print_Area</vt:lpstr>
      <vt:lpstr>'LcrMeter.1-3S'!Print_Titles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</dc:creator>
  <cp:lastModifiedBy>昌金 李</cp:lastModifiedBy>
  <cp:lastPrinted>2022-02-26T07:34:55Z</cp:lastPrinted>
  <dcterms:created xsi:type="dcterms:W3CDTF">2022-01-26T05:45:55Z</dcterms:created>
  <dcterms:modified xsi:type="dcterms:W3CDTF">2026-03-23T06:57:23Z</dcterms:modified>
</cp:coreProperties>
</file>